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Carta Gantt" sheetId="1" state="visible" r:id="rId1"/>
  </sheets>
  <definedNames>
    <definedName name="_xlnm.Print_Titles" localSheetId="0">'Carta Gantt'!$8:$9</definedName>
    <definedName name="_xlnm.Print_Area" localSheetId="0">'Carta Gantt'!$B$1:$AC$70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"/>
    <numFmt numFmtId="165" formatCode="dd/mm"/>
  </numFmts>
  <fonts count="12">
    <font>
      <name val="Arial"/>
      <color rgb="FF000000"/>
      <sz val="10"/>
      <scheme val="minor"/>
    </font>
    <font>
      <name val="Arial"/>
      <b val="1"/>
      <color rgb="FF0B0B0B"/>
      <sz val="18"/>
    </font>
    <font>
      <name val="Arial"/>
      <color rgb="FF52514E"/>
      <sz val="10"/>
    </font>
    <font>
      <name val="Arial"/>
      <i val="1"/>
      <color rgb="FF898781"/>
      <sz val="9"/>
    </font>
    <font>
      <name val="Arial"/>
      <b val="1"/>
      <color rgb="FF52514E"/>
      <sz val="9"/>
    </font>
    <font>
      <name val="Arial"/>
      <color rgb="FF0B0B0B"/>
      <sz val="10"/>
    </font>
    <font>
      <name val="Arial"/>
      <color rgb="FF898781"/>
      <sz val="9"/>
    </font>
    <font>
      <name val="Arial"/>
      <color rgb="FF52514E"/>
      <sz val="9"/>
    </font>
    <font>
      <name val="Arial"/>
      <b val="1"/>
      <color rgb="FF0B0B0B"/>
      <sz val="16"/>
    </font>
    <font>
      <name val="Arial"/>
      <color rgb="FF898781"/>
      <sz val="8"/>
    </font>
    <font>
      <name val="Arial"/>
      <b val="1"/>
      <color rgb="FF0B0B0B"/>
      <sz val="9"/>
    </font>
    <font>
      <name val="Arial"/>
      <b val="1"/>
      <color rgb="FFFFFFFF"/>
      <sz val="8"/>
    </font>
  </fonts>
  <fills count="4">
    <fill>
      <patternFill/>
    </fill>
    <fill>
      <patternFill patternType="gray125"/>
    </fill>
    <fill>
      <patternFill patternType="solid">
        <fgColor rgb="FFF1F0EC"/>
      </patternFill>
    </fill>
    <fill>
      <patternFill patternType="solid">
        <fgColor rgb="FFD03B3B"/>
      </patternFill>
    </fill>
  </fills>
  <borders count="12">
    <border>
      <left/>
      <right/>
      <top/>
      <bottom/>
      <diagonal/>
    </border>
    <border>
      <left/>
      <right/>
      <top style="thin">
        <color rgb="FFE1E0D9"/>
      </top>
      <bottom style="thin">
        <color rgb="FFE1E0D9"/>
      </bottom>
      <diagonal/>
    </border>
    <border>
      <left/>
      <right/>
      <top/>
      <bottom style="thin">
        <color rgb="FFE1E0D9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0CA30C"/>
      </top>
      <bottom/>
      <diagonal/>
    </border>
    <border>
      <left/>
      <right/>
      <top style="thick">
        <color rgb="FFEDA100"/>
      </top>
      <bottom/>
      <diagonal/>
    </border>
    <border>
      <left/>
      <right/>
      <top style="thick">
        <color rgb="FF2A78D6"/>
      </top>
      <bottom/>
      <diagonal/>
    </border>
    <border>
      <left/>
      <right/>
      <top style="thick">
        <color rgb="FFD03B3B"/>
      </top>
      <bottom/>
      <diagonal/>
    </border>
    <border>
      <left/>
      <right/>
      <top style="thick">
        <color rgb="FF4A3AA7"/>
      </top>
      <bottom/>
      <diagonal/>
    </border>
    <border>
      <left/>
      <right/>
      <top/>
      <bottom style="medium">
        <color rgb="FFC3C2B7"/>
      </bottom>
      <diagonal/>
    </border>
    <border>
      <left style="thin">
        <color rgb="FFE1E0D9"/>
      </left>
      <right/>
      <top/>
      <bottom style="thin">
        <color rgb="FFE1E0D9"/>
      </bottom>
      <diagonal/>
    </border>
    <border>
      <left/>
      <right/>
      <top/>
      <bottom style="thin">
        <color rgb="FFE1E0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 indent="1"/>
    </xf>
    <xf numFmtId="0" fontId="4" fillId="0" borderId="9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/>
    </xf>
    <xf numFmtId="164" fontId="11" fillId="3" borderId="9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165" fontId="2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2" applyAlignment="1" pivotButton="0" quotePrefix="0" xfId="0">
      <alignment horizontal="left" vertical="center" indent="1"/>
    </xf>
    <xf numFmtId="0" fontId="10" fillId="0" borderId="10" applyAlignment="1" pivotButton="0" quotePrefix="0" xfId="0">
      <alignment horizontal="left"/>
    </xf>
    <xf numFmtId="0" fontId="0" fillId="0" borderId="11" pivotButton="0" quotePrefix="0" xfId="0"/>
  </cellXfs>
  <cellStyles count="1">
    <cellStyle name="Normal" xfId="0" builtinId="0"/>
  </cellStyles>
  <dxfs count="11">
    <dxf>
      <fill>
        <patternFill patternType="solid">
          <fgColor rgb="FFFBE9E9"/>
          <bgColor rgb="FFFBE9E9"/>
        </patternFill>
      </fill>
    </dxf>
    <dxf>
      <fill>
        <patternFill patternType="solid">
          <fgColor rgb="FF4A3AA7"/>
          <bgColor rgb="FF4A3AA7"/>
        </patternFill>
      </fill>
    </dxf>
    <dxf>
      <fill>
        <patternFill patternType="solid">
          <fgColor rgb="FFD03B3B"/>
          <bgColor rgb="FFD03B3B"/>
        </patternFill>
      </fill>
    </dxf>
    <dxf>
      <fill>
        <patternFill patternType="solid">
          <fgColor rgb="FF2A78D6"/>
          <bgColor rgb="FF2A78D6"/>
        </patternFill>
      </fill>
    </dxf>
    <dxf>
      <fill>
        <patternFill patternType="solid">
          <fgColor rgb="FFEDA100"/>
          <bgColor rgb="FFEDA100"/>
        </patternFill>
      </fill>
    </dxf>
    <dxf>
      <fill>
        <patternFill patternType="solid">
          <fgColor rgb="FF0CA30C"/>
          <bgColor rgb="FF0CA30C"/>
        </patternFill>
      </fill>
    </dxf>
    <dxf>
      <fill>
        <patternFill patternType="solid">
          <fgColor rgb="FF4A3AA7"/>
          <bgColor rgb="FF4A3AA7"/>
        </patternFill>
      </fill>
    </dxf>
    <dxf>
      <fill>
        <patternFill patternType="solid">
          <fgColor rgb="FFD03B3B"/>
          <bgColor rgb="FFD03B3B"/>
        </patternFill>
      </fill>
    </dxf>
    <dxf>
      <fill>
        <patternFill patternType="solid">
          <fgColor rgb="FF2A78D6"/>
          <bgColor rgb="FF2A78D6"/>
        </patternFill>
      </fill>
    </dxf>
    <dxf>
      <fill>
        <patternFill patternType="solid">
          <fgColor rgb="FFEDA100"/>
          <bgColor rgb="FFEDA100"/>
        </patternFill>
      </fill>
    </dxf>
    <dxf>
      <fill>
        <patternFill patternType="solid">
          <fgColor rgb="FF0CA30C"/>
          <bgColor rgb="FF0CA30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B1:AC70"/>
  <sheetViews>
    <sheetView showGridLines="0" tabSelected="1" topLeftCell="A3" zoomScale="90" zoomScaleNormal="85" workbookViewId="0">
      <pane xSplit="8" ySplit="9" topLeftCell="I10" activePane="bottomRight" state="frozen"/>
      <selection pane="topRight" activeCell="A1" sqref="A1"/>
      <selection pane="bottomLeft" activeCell="A1" sqref="A1"/>
      <selection pane="bottomRight" activeCell="AM29" sqref="AM29"/>
    </sheetView>
  </sheetViews>
  <sheetFormatPr baseColWidth="10" defaultColWidth="12.5703125" defaultRowHeight="15" customHeight="1"/>
  <cols>
    <col width="2" customWidth="1" style="1" min="1" max="1"/>
    <col width="1.5703125" customWidth="1" style="1" min="2" max="2"/>
    <col width="58" customWidth="1" style="1" min="3" max="3"/>
    <col width="21" customWidth="1" style="1" min="4" max="4"/>
    <col width="8" customWidth="1" style="1" min="5" max="6"/>
    <col width="12.42578125" customWidth="1" style="1" min="7" max="7"/>
    <col width="11" customWidth="1" style="1" min="8" max="8"/>
    <col width="3.42578125" customWidth="1" style="1" min="9" max="27"/>
    <col width="2" customWidth="1" style="1" min="28" max="28"/>
    <col width="50" customWidth="1" style="1" min="29" max="29"/>
    <col width="12.42578125" customWidth="1" style="1" min="30" max="53"/>
  </cols>
  <sheetData>
    <row r="1" ht="30" customHeight="1" s="1">
      <c r="C1" s="2" t="inlineStr">
        <is>
          <t>Carta Gantt · ShelfVision AI</t>
        </is>
      </c>
    </row>
    <row r="2" ht="15.75" customHeight="1" s="1">
      <c r="C2" s="3" t="inlineStr">
        <is>
          <t>Walmart Chile · Proyecto de Título APT122 (Duoc UC) · Integrantes: Nicko Cortes, Francisco Sandoval, Mariana Ramirez</t>
        </is>
      </c>
    </row>
    <row r="3" ht="15.75" customHeight="1" s="1">
      <c r="C3" s="4" t="inlineStr">
        <is>
          <t>Corte: 21-10-2026 (informe intermedio)</t>
        </is>
      </c>
    </row>
    <row r="4" ht="15.75" customHeight="1" s="1"/>
    <row r="5" ht="26.1" customHeight="1" s="1">
      <c r="D5" s="5">
        <f>COUNTIF($G$10:$G$70,"Cumplido")</f>
        <v/>
      </c>
      <c r="E5" s="6">
        <f>COUNTIF($G$10:$G$70,"En curso")</f>
        <v/>
      </c>
      <c r="F5" s="7">
        <f>COUNTIF($G$10:$G$70,"Pendiente")</f>
        <v/>
      </c>
      <c r="G5" s="8">
        <f>COUNTIF($G$10:$G$70,"Atrasado")</f>
        <v/>
      </c>
      <c r="H5" s="9">
        <f>COUNTIF($G$10:$G$70,"Bloqueado")</f>
        <v/>
      </c>
    </row>
    <row r="6" ht="15.75" customHeight="1" s="1">
      <c r="C6" s="10" t="inlineStr">
        <is>
          <t>Resumen</t>
        </is>
      </c>
      <c r="D6" s="11" t="inlineStr">
        <is>
          <t>Cumplido</t>
        </is>
      </c>
      <c r="E6" s="11" t="inlineStr">
        <is>
          <t>En curso</t>
        </is>
      </c>
      <c r="F6" s="11" t="inlineStr">
        <is>
          <t>Pendiente</t>
        </is>
      </c>
      <c r="G6" s="11" t="inlineStr">
        <is>
          <t>Atrasado</t>
        </is>
      </c>
      <c r="H6" s="11" t="inlineStr">
        <is>
          <t>Bloqueado</t>
        </is>
      </c>
    </row>
    <row r="7" ht="15.75" customHeight="1" s="1"/>
    <row r="8" ht="15.75" customHeight="1" s="1">
      <c r="I8" s="24" t="inlineStr">
        <is>
          <t>Ago</t>
        </is>
      </c>
      <c r="J8" s="25" t="n"/>
      <c r="K8" s="25" t="n"/>
      <c r="L8" s="25" t="n"/>
      <c r="M8" s="24" t="inlineStr">
        <is>
          <t>Sep</t>
        </is>
      </c>
      <c r="N8" s="25" t="n"/>
      <c r="O8" s="25" t="n"/>
      <c r="P8" s="25" t="n"/>
      <c r="Q8" s="24" t="inlineStr">
        <is>
          <t>Oct</t>
        </is>
      </c>
      <c r="R8" s="25" t="n"/>
      <c r="S8" s="25" t="n"/>
      <c r="T8" s="25" t="n"/>
      <c r="U8" s="24" t="inlineStr">
        <is>
          <t>Nov</t>
        </is>
      </c>
      <c r="V8" s="25" t="n"/>
      <c r="W8" s="25" t="n"/>
      <c r="X8" s="25" t="n"/>
      <c r="Y8" s="25" t="n"/>
      <c r="Z8" s="24" t="inlineStr">
        <is>
          <t>Dic</t>
        </is>
      </c>
      <c r="AA8" s="25" t="n"/>
    </row>
    <row r="9" ht="18" customHeight="1" s="1">
      <c r="C9" s="12" t="inlineStr">
        <is>
          <t>Actividad</t>
        </is>
      </c>
      <c r="D9" s="12" t="inlineStr">
        <is>
          <t>Responsable</t>
        </is>
      </c>
      <c r="E9" s="13" t="inlineStr">
        <is>
          <t>Inicio</t>
        </is>
      </c>
      <c r="F9" s="13" t="inlineStr">
        <is>
          <t>Fin</t>
        </is>
      </c>
      <c r="G9" s="12" t="inlineStr">
        <is>
          <t>Estado</t>
        </is>
      </c>
      <c r="H9" s="13" t="inlineStr">
        <is>
          <t>Ítem</t>
        </is>
      </c>
      <c r="I9" s="14" t="n">
        <v>46244</v>
      </c>
      <c r="J9" s="14" t="n">
        <v>46251</v>
      </c>
      <c r="K9" s="14" t="n">
        <v>46258</v>
      </c>
      <c r="L9" s="14" t="n">
        <v>46265</v>
      </c>
      <c r="M9" s="14" t="n">
        <v>46272</v>
      </c>
      <c r="N9" s="14" t="n">
        <v>46279</v>
      </c>
      <c r="O9" s="14" t="n">
        <v>46286</v>
      </c>
      <c r="P9" s="14" t="n">
        <v>46293</v>
      </c>
      <c r="Q9" s="14" t="n">
        <v>46300</v>
      </c>
      <c r="R9" s="14" t="n">
        <v>46307</v>
      </c>
      <c r="S9" s="15" t="n">
        <v>46314</v>
      </c>
      <c r="T9" s="14" t="n">
        <v>46321</v>
      </c>
      <c r="U9" s="14" t="n">
        <v>46328</v>
      </c>
      <c r="V9" s="14" t="n">
        <v>46335</v>
      </c>
      <c r="W9" s="14" t="n">
        <v>46342</v>
      </c>
      <c r="X9" s="14" t="n">
        <v>46349</v>
      </c>
      <c r="Y9" s="14" t="n">
        <v>46356</v>
      </c>
      <c r="Z9" s="14" t="n">
        <v>46363</v>
      </c>
      <c r="AA9" s="14" t="n">
        <v>46370</v>
      </c>
      <c r="AC9" s="12" t="inlineStr">
        <is>
          <t>Observación</t>
        </is>
      </c>
    </row>
    <row r="10" ht="20.1" customHeight="1" s="1">
      <c r="B10" s="16" t="n"/>
      <c r="C10" s="17" t="inlineStr">
        <is>
          <t>FASE 1 · ANÁLISIS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</row>
    <row r="11" ht="20.1" customHeight="1" s="1">
      <c r="B11" s="18" t="n"/>
      <c r="C11" s="19" t="inlineStr">
        <is>
          <t>Creación carta gantt</t>
        </is>
      </c>
      <c r="D11" s="19" t="inlineStr">
        <is>
          <t>Nicko</t>
        </is>
      </c>
      <c r="E11" s="20" t="n">
        <v>46249</v>
      </c>
      <c r="F11" s="20" t="n">
        <v>46250</v>
      </c>
      <c r="G11" s="19" t="inlineStr">
        <is>
          <t>Cumplido</t>
        </is>
      </c>
      <c r="H11" s="21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C11" s="23" t="n"/>
    </row>
    <row r="12" ht="20.1" customHeight="1" s="1">
      <c r="B12" s="18" t="n"/>
      <c r="C12" s="19" t="inlineStr">
        <is>
          <t>Recepción del caso</t>
        </is>
      </c>
      <c r="D12" s="19" t="inlineStr">
        <is>
          <t>Nicko</t>
        </is>
      </c>
      <c r="E12" s="20" t="n">
        <v>46250</v>
      </c>
      <c r="F12" s="20" t="n">
        <v>46252</v>
      </c>
      <c r="G12" s="19" t="inlineStr">
        <is>
          <t>Cumplido</t>
        </is>
      </c>
      <c r="H12" s="21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C12" s="23" t="n"/>
    </row>
    <row r="13" ht="20.1" customHeight="1" s="1">
      <c r="B13" s="18" t="n"/>
      <c r="C13" s="19" t="inlineStr">
        <is>
          <t>Organización del equipo</t>
        </is>
      </c>
      <c r="D13" s="19" t="inlineStr">
        <is>
          <t>Nicko</t>
        </is>
      </c>
      <c r="E13" s="20" t="n">
        <v>46249</v>
      </c>
      <c r="F13" s="20" t="n">
        <v>46251</v>
      </c>
      <c r="G13" s="19" t="inlineStr">
        <is>
          <t>Cumplido</t>
        </is>
      </c>
      <c r="H13" s="21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C13" s="23" t="n"/>
    </row>
    <row r="14" ht="20.1" customHeight="1" s="1">
      <c r="B14" s="18" t="n"/>
      <c r="C14" s="19" t="inlineStr">
        <is>
          <t>Definición de requerimientos generales de proyecto</t>
        </is>
      </c>
      <c r="D14" s="19" t="inlineStr">
        <is>
          <t>Francisco</t>
        </is>
      </c>
      <c r="E14" s="20" t="n">
        <v>46251</v>
      </c>
      <c r="F14" s="20" t="n">
        <v>46253</v>
      </c>
      <c r="G14" s="19" t="inlineStr">
        <is>
          <t>Cumplido</t>
        </is>
      </c>
      <c r="H14" s="21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C14" s="23" t="n"/>
    </row>
    <row r="15" ht="20.1" customHeight="1" s="1">
      <c r="B15" s="18" t="n"/>
      <c r="C15" s="19" t="inlineStr">
        <is>
          <t>Captura de requerimientos funcionales</t>
        </is>
      </c>
      <c r="D15" s="19" t="inlineStr">
        <is>
          <t>Francisco</t>
        </is>
      </c>
      <c r="E15" s="20" t="n">
        <v>46252</v>
      </c>
      <c r="F15" s="20" t="n">
        <v>46256</v>
      </c>
      <c r="G15" s="19" t="inlineStr">
        <is>
          <t>Cumplido</t>
        </is>
      </c>
      <c r="H15" s="21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C15" s="23" t="n"/>
    </row>
    <row r="16" ht="20.1" customHeight="1" s="1">
      <c r="B16" s="18" t="n"/>
      <c r="C16" s="19" t="inlineStr">
        <is>
          <t>Documento preliminar de requerimientos</t>
        </is>
      </c>
      <c r="D16" s="19" t="inlineStr">
        <is>
          <t>Francisco</t>
        </is>
      </c>
      <c r="E16" s="20" t="n">
        <v>46254</v>
      </c>
      <c r="F16" s="20" t="n">
        <v>46258</v>
      </c>
      <c r="G16" s="19" t="inlineStr">
        <is>
          <t>Cumplido</t>
        </is>
      </c>
      <c r="H16" s="21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C16" s="23" t="n"/>
    </row>
    <row r="17" ht="20.1" customHeight="1" s="1">
      <c r="B17" s="18" t="n"/>
      <c r="C17" s="19" t="inlineStr">
        <is>
          <t>Análisis de requerimientos</t>
        </is>
      </c>
      <c r="D17" s="19" t="inlineStr">
        <is>
          <t>Mariana</t>
        </is>
      </c>
      <c r="E17" s="20" t="n">
        <v>46256</v>
      </c>
      <c r="F17" s="20" t="n">
        <v>46259</v>
      </c>
      <c r="G17" s="19" t="inlineStr">
        <is>
          <t>Cumplido</t>
        </is>
      </c>
      <c r="H17" s="21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C17" s="23" t="n"/>
    </row>
    <row r="18" ht="20.1" customHeight="1" s="1">
      <c r="B18" s="16" t="n"/>
      <c r="C18" s="17" t="inlineStr">
        <is>
          <t>FASE 1 · DISEÑO</t>
        </is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</row>
    <row r="19" ht="20.1" customHeight="1" s="1">
      <c r="B19" s="18" t="n"/>
      <c r="C19" s="19" t="inlineStr">
        <is>
          <t>Diseño de Casos de Uso</t>
        </is>
      </c>
      <c r="D19" s="19" t="inlineStr">
        <is>
          <t>Mariana, Francisco</t>
        </is>
      </c>
      <c r="E19" s="20" t="n">
        <v>46260</v>
      </c>
      <c r="F19" s="20" t="n">
        <v>46263</v>
      </c>
      <c r="G19" s="19" t="inlineStr">
        <is>
          <t>Cumplido</t>
        </is>
      </c>
      <c r="H19" s="21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C19" s="23" t="n"/>
    </row>
    <row r="20" ht="20.1" customHeight="1" s="1">
      <c r="B20" s="18" t="n"/>
      <c r="C20" s="19" t="inlineStr">
        <is>
          <t>Diagrama de Casos de Uso</t>
        </is>
      </c>
      <c r="D20" s="19" t="inlineStr">
        <is>
          <t>Mariana, Francisco</t>
        </is>
      </c>
      <c r="E20" s="20" t="n">
        <v>46260</v>
      </c>
      <c r="F20" s="20" t="n">
        <v>46265</v>
      </c>
      <c r="G20" s="19" t="inlineStr">
        <is>
          <t>Cumplido</t>
        </is>
      </c>
      <c r="H20" s="21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C20" s="23" t="n"/>
    </row>
    <row r="21" ht="20.1" customHeight="1" s="1">
      <c r="B21" s="18" t="n"/>
      <c r="C21" s="19" t="inlineStr">
        <is>
          <t>Plantillas de Casos de Uso</t>
        </is>
      </c>
      <c r="D21" s="19" t="inlineStr">
        <is>
          <t>Mariana</t>
        </is>
      </c>
      <c r="E21" s="20" t="n">
        <v>46262</v>
      </c>
      <c r="F21" s="20" t="n">
        <v>46264</v>
      </c>
      <c r="G21" s="19" t="inlineStr">
        <is>
          <t>Cumplido</t>
        </is>
      </c>
      <c r="H21" s="21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C21" s="23" t="n"/>
    </row>
    <row r="22" ht="20.1" customHeight="1" s="1">
      <c r="B22" s="18" t="n"/>
      <c r="C22" s="19" t="inlineStr">
        <is>
          <t>Informe presentación del caso</t>
        </is>
      </c>
      <c r="D22" s="19" t="inlineStr">
        <is>
          <t>Nicko, Francisco</t>
        </is>
      </c>
      <c r="E22" s="20" t="n">
        <v>46266</v>
      </c>
      <c r="F22" s="20" t="n">
        <v>46265</v>
      </c>
      <c r="G22" s="19" t="inlineStr">
        <is>
          <t>Cumplido</t>
        </is>
      </c>
      <c r="H22" s="21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C22" s="23" t="inlineStr">
        <is>
          <t>En la original, el fin es anterior al inicio</t>
        </is>
      </c>
    </row>
    <row r="23" ht="20.1" customHeight="1" s="1">
      <c r="B23" s="18" t="n"/>
      <c r="C23" s="19" t="inlineStr">
        <is>
          <t>Diagramas de Actividad</t>
        </is>
      </c>
      <c r="D23" s="19" t="inlineStr">
        <is>
          <t>Mariana</t>
        </is>
      </c>
      <c r="E23" s="20" t="n">
        <v>46260</v>
      </c>
      <c r="F23" s="20" t="n">
        <v>46269</v>
      </c>
      <c r="G23" s="19" t="inlineStr">
        <is>
          <t>Cumplido</t>
        </is>
      </c>
      <c r="H23" s="21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C23" s="23" t="n"/>
    </row>
    <row r="24" ht="20.1" customHeight="1" s="1">
      <c r="B24" s="18" t="n"/>
      <c r="C24" s="19" t="inlineStr">
        <is>
          <t>Diseño de base de datos</t>
        </is>
      </c>
      <c r="D24" s="19" t="inlineStr">
        <is>
          <t>Francisco</t>
        </is>
      </c>
      <c r="E24" s="20" t="n">
        <v>46313</v>
      </c>
      <c r="F24" s="20" t="n">
        <v>46314</v>
      </c>
      <c r="G24" s="19" t="inlineStr">
        <is>
          <t>Cumplido</t>
        </is>
      </c>
      <c r="H24" s="21" t="inlineStr">
        <is>
          <t>#28</t>
        </is>
      </c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C24" s="23" t="inlineStr">
        <is>
          <t>Hecho en el PR #35 (app web Django + SQLite, 2026-10-18 a 2026-10-19).</t>
        </is>
      </c>
    </row>
    <row r="25" ht="20.1" customHeight="1" s="1">
      <c r="B25" s="18" t="n"/>
      <c r="C25" s="19" t="inlineStr">
        <is>
          <t>Modelamiento de base de datos</t>
        </is>
      </c>
      <c r="D25" s="19" t="inlineStr">
        <is>
          <t>Francisco</t>
        </is>
      </c>
      <c r="E25" s="20" t="n">
        <v>46313</v>
      </c>
      <c r="F25" s="20" t="n">
        <v>46314</v>
      </c>
      <c r="G25" s="19" t="inlineStr">
        <is>
          <t>Cumplido</t>
        </is>
      </c>
      <c r="H25" s="21" t="inlineStr">
        <is>
          <t>#28</t>
        </is>
      </c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C25" s="23" t="inlineStr">
        <is>
          <t>Hecho en el PR #35 (app web Django + SQLite, 2026-10-18 a 2026-10-19).</t>
        </is>
      </c>
    </row>
    <row r="26" ht="20.1" customHeight="1" s="1">
      <c r="B26" s="18" t="n"/>
      <c r="C26" s="19" t="inlineStr">
        <is>
          <t>Mockups del sistema</t>
        </is>
      </c>
      <c r="D26" s="19" t="inlineStr">
        <is>
          <t>Mariana</t>
        </is>
      </c>
      <c r="E26" s="20" t="n">
        <v>46268</v>
      </c>
      <c r="F26" s="20" t="n">
        <v>46274</v>
      </c>
      <c r="G26" s="19" t="inlineStr">
        <is>
          <t>Cumplido</t>
        </is>
      </c>
      <c r="H26" s="21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C26" s="23" t="n"/>
    </row>
    <row r="27" ht="20.1" customHeight="1" s="1">
      <c r="B27" s="18" t="n"/>
      <c r="C27" s="19" t="inlineStr">
        <is>
          <t>Creación de Script de base de datos</t>
        </is>
      </c>
      <c r="D27" s="19" t="inlineStr">
        <is>
          <t>Francisco</t>
        </is>
      </c>
      <c r="E27" s="20" t="n">
        <v>46313</v>
      </c>
      <c r="F27" s="20" t="n">
        <v>46314</v>
      </c>
      <c r="G27" s="19" t="inlineStr">
        <is>
          <t>Cumplido</t>
        </is>
      </c>
      <c r="H27" s="21" t="inlineStr">
        <is>
          <t>#28</t>
        </is>
      </c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C27" s="23" t="inlineStr">
        <is>
          <t>Hecho en el PR #35 (app web Django + SQLite, 2026-10-18 a 2026-10-19).</t>
        </is>
      </c>
    </row>
    <row r="28" ht="20.1" customHeight="1" s="1">
      <c r="B28" s="16" t="n"/>
      <c r="C28" s="17" t="inlineStr">
        <is>
          <t>FASE 2 · GESTIÓN Y DATOS</t>
        </is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</row>
    <row r="29" ht="20.1" customHeight="1" s="1">
      <c r="B29" s="18" t="n"/>
      <c r="C29" s="19" t="inlineStr">
        <is>
          <t>Flujo de trabajo en equipo (ramas, PR, PROGRESS.md)</t>
        </is>
      </c>
      <c r="D29" s="19" t="inlineStr">
        <is>
          <t>Francisco</t>
        </is>
      </c>
      <c r="E29" s="20" t="n">
        <v>46292</v>
      </c>
      <c r="F29" s="20" t="n">
        <v>46292</v>
      </c>
      <c r="G29" s="19" t="inlineStr">
        <is>
          <t>Cumplido</t>
        </is>
      </c>
      <c r="H29" s="21" t="inlineStr">
        <is>
          <t>Plan 1</t>
        </is>
      </c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C29" s="23" t="n"/>
    </row>
    <row r="30" ht="20.1" customHeight="1" s="1">
      <c r="B30" s="18" t="n"/>
      <c r="C30" s="19" t="inlineStr">
        <is>
          <t>CI en GitHub Actions y protección de main</t>
        </is>
      </c>
      <c r="D30" s="19" t="inlineStr">
        <is>
          <t>Mariana</t>
        </is>
      </c>
      <c r="E30" s="20" t="n">
        <v>46292</v>
      </c>
      <c r="F30" s="20" t="n">
        <v>46292</v>
      </c>
      <c r="G30" s="19" t="inlineStr">
        <is>
          <t>Cumplido</t>
        </is>
      </c>
      <c r="H30" s="21" t="inlineStr">
        <is>
          <t>#13</t>
        </is>
      </c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C30" s="23" t="n"/>
    </row>
    <row r="31" ht="20.1" customHeight="1" s="1">
      <c r="B31" s="18" t="n"/>
      <c r="C31" s="19" t="inlineStr">
        <is>
          <t>Datasets: descarga reproducible, conversores y licencias</t>
        </is>
      </c>
      <c r="D31" s="19" t="inlineStr">
        <is>
          <t>Francisco, Mariana</t>
        </is>
      </c>
      <c r="E31" s="20" t="n">
        <v>46292</v>
      </c>
      <c r="F31" s="20" t="n">
        <v>46293</v>
      </c>
      <c r="G31" s="19" t="inlineStr">
        <is>
          <t>Cumplido</t>
        </is>
      </c>
      <c r="H31" s="21" t="inlineStr">
        <is>
          <t>#10-#12, #16</t>
        </is>
      </c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C31" s="23" t="n"/>
    </row>
    <row r="32" ht="20.1" customHeight="1" s="1">
      <c r="B32" s="18" t="n"/>
      <c r="C32" s="19" t="inlineStr">
        <is>
          <t>Plan de pruebas</t>
        </is>
      </c>
      <c r="D32" s="19" t="inlineStr">
        <is>
          <t>Francisco</t>
        </is>
      </c>
      <c r="E32" s="20" t="n">
        <v>46295</v>
      </c>
      <c r="F32" s="20" t="n">
        <v>46296</v>
      </c>
      <c r="G32" s="19" t="inlineStr">
        <is>
          <t>Cumplido</t>
        </is>
      </c>
      <c r="H32" s="21" t="inlineStr">
        <is>
          <t>#19</t>
        </is>
      </c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C32" s="23" t="n"/>
    </row>
    <row r="33" ht="20.1" customHeight="1" s="1">
      <c r="B33" s="16" t="n"/>
      <c r="C33" s="17" t="inlineStr">
        <is>
          <t>FASE 2 · VISIÓN ARTIFICIAL</t>
        </is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</row>
    <row r="34" ht="20.1" customHeight="1" s="1">
      <c r="B34" s="18" t="n"/>
      <c r="C34" s="19" t="inlineStr">
        <is>
          <t>Corrección de imagen (dewarping y CLAHE) y recorte de ROI</t>
        </is>
      </c>
      <c r="D34" s="19" t="inlineStr">
        <is>
          <t>Francisco</t>
        </is>
      </c>
      <c r="E34" s="20" t="n">
        <v>46292</v>
      </c>
      <c r="F34" s="20" t="n">
        <v>46292</v>
      </c>
      <c r="G34" s="19" t="inlineStr">
        <is>
          <t>Cumplido</t>
        </is>
      </c>
      <c r="H34" s="21" t="inlineStr">
        <is>
          <t>#1-#3</t>
        </is>
      </c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C34" s="23" t="n"/>
    </row>
    <row r="35" ht="20.1" customHeight="1" s="1">
      <c r="B35" s="18" t="n"/>
      <c r="C35" s="19" t="inlineStr">
        <is>
          <t>Segmentación automática de góndola y repisas</t>
        </is>
      </c>
      <c r="D35" s="19" t="inlineStr">
        <is>
          <t>Francisco</t>
        </is>
      </c>
      <c r="E35" s="20" t="n">
        <v>46292</v>
      </c>
      <c r="F35" s="20" t="n">
        <v>46293</v>
      </c>
      <c r="G35" s="19" t="inlineStr">
        <is>
          <t>Cumplido</t>
        </is>
      </c>
      <c r="H35" s="21" t="inlineStr">
        <is>
          <t>#4, #15</t>
        </is>
      </c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C35" s="23" t="inlineStr">
        <is>
          <t>F1 de repisas 0.823 (SHARD)</t>
        </is>
      </c>
    </row>
    <row r="36" ht="20.1" customHeight="1" s="1">
      <c r="B36" s="18" t="n"/>
      <c r="C36" s="19" t="inlineStr">
        <is>
          <t>Detector YOLO26: integración y entrenamiento</t>
        </is>
      </c>
      <c r="D36" s="19" t="inlineStr">
        <is>
          <t>Francisco</t>
        </is>
      </c>
      <c r="E36" s="20" t="n">
        <v>46294</v>
      </c>
      <c r="F36" s="20" t="n">
        <v>46302</v>
      </c>
      <c r="G36" s="19" t="inlineStr">
        <is>
          <t>Cumplido</t>
        </is>
      </c>
      <c r="H36" s="21" t="inlineStr">
        <is>
          <t>#5</t>
        </is>
      </c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C36" s="23" t="inlineStr">
        <is>
          <t>mAP50 0.950 en test (SKU-110K)</t>
        </is>
      </c>
    </row>
    <row r="37" ht="20.1" customHeight="1" s="1">
      <c r="B37" s="18" t="n"/>
      <c r="C37" s="19" t="inlineStr">
        <is>
          <t>Disponibilidad y alerta de quiebre (libre &gt;= 30%)</t>
        </is>
      </c>
      <c r="D37" s="19" t="inlineStr">
        <is>
          <t>Francisco</t>
        </is>
      </c>
      <c r="E37" s="20" t="n">
        <v>46295</v>
      </c>
      <c r="F37" s="20" t="n">
        <v>46295</v>
      </c>
      <c r="G37" s="19" t="inlineStr">
        <is>
          <t>Cumplido</t>
        </is>
      </c>
      <c r="H37" s="21" t="inlineStr">
        <is>
          <t>#6</t>
        </is>
      </c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C37" s="23" t="n"/>
    </row>
    <row r="38" ht="20.1" customHeight="1" s="1">
      <c r="B38" s="18" t="n"/>
      <c r="C38" s="19" t="inlineStr">
        <is>
          <t>Repisas inclinadas (niveles híbridos)</t>
        </is>
      </c>
      <c r="D38" s="19" t="inlineStr">
        <is>
          <t>Francisco</t>
        </is>
      </c>
      <c r="E38" s="20" t="n">
        <v>46296</v>
      </c>
      <c r="F38" s="20" t="n">
        <v>46296</v>
      </c>
      <c r="G38" s="19" t="inlineStr">
        <is>
          <t>Cumplido</t>
        </is>
      </c>
      <c r="H38" s="21" t="inlineStr">
        <is>
          <t>#22</t>
        </is>
      </c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C38" s="23" t="n"/>
    </row>
    <row r="39" ht="20.1" customHeight="1" s="1">
      <c r="B39" s="18" t="n"/>
      <c r="C39" s="19" t="inlineStr">
        <is>
          <t>Pipeline completo, vista anotada y evaluación por lotes (CU07)</t>
        </is>
      </c>
      <c r="D39" s="19" t="inlineStr">
        <is>
          <t>Francisco</t>
        </is>
      </c>
      <c r="E39" s="20" t="n">
        <v>46305</v>
      </c>
      <c r="F39" s="20" t="n">
        <v>46313</v>
      </c>
      <c r="G39" s="19" t="inlineStr">
        <is>
          <t>Cumplido</t>
        </is>
      </c>
      <c r="H39" s="21" t="inlineStr">
        <is>
          <t>#8</t>
        </is>
      </c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C39" s="23" t="n"/>
    </row>
    <row r="40" ht="20.1" customHeight="1" s="1">
      <c r="B40" s="18" t="n"/>
      <c r="C40" s="19" t="inlineStr">
        <is>
          <t>Quiebre por góndola completa (cambio de alcance)</t>
        </is>
      </c>
      <c r="D40" s="19" t="inlineStr">
        <is>
          <t>Francisco</t>
        </is>
      </c>
      <c r="E40" s="20" t="n">
        <v>46314</v>
      </c>
      <c r="F40" s="20" t="n">
        <v>46314</v>
      </c>
      <c r="G40" s="19" t="inlineStr">
        <is>
          <t>Cumplido</t>
        </is>
      </c>
      <c r="H40" s="21" t="inlineStr">
        <is>
          <t>#40</t>
        </is>
      </c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C40" s="23" t="n"/>
    </row>
    <row r="41" ht="20.1" customHeight="1" s="1">
      <c r="B41" s="18" t="n"/>
      <c r="C41" s="19" t="inlineStr">
        <is>
          <t>Verificar el detector fuera de SKU-110K</t>
        </is>
      </c>
      <c r="D41" s="19" t="inlineStr">
        <is>
          <t>Francisco</t>
        </is>
      </c>
      <c r="E41" s="20" t="n">
        <v>46315</v>
      </c>
      <c r="F41" s="20" t="n">
        <v>46316</v>
      </c>
      <c r="G41" s="19" t="inlineStr">
        <is>
          <t>Cumplido</t>
        </is>
      </c>
      <c r="H41" s="21" t="inlineStr">
        <is>
          <t>#33</t>
        </is>
      </c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C41" s="23" t="inlineStr">
        <is>
          <t>Parte (1), Kaggle, dentro de #34</t>
        </is>
      </c>
    </row>
    <row r="42" ht="20.1" customHeight="1" s="1">
      <c r="B42" s="18" t="n"/>
      <c r="C42" s="19" t="inlineStr">
        <is>
          <t>Reportes Excel, CSV y PDF</t>
        </is>
      </c>
      <c r="D42" s="19" t="inlineStr">
        <is>
          <t>Mariana</t>
        </is>
      </c>
      <c r="E42" s="20" t="n">
        <v>46316</v>
      </c>
      <c r="F42" s="20" t="n">
        <v>46316</v>
      </c>
      <c r="G42" s="19" t="inlineStr">
        <is>
          <t>Cumplido</t>
        </is>
      </c>
      <c r="H42" s="21" t="inlineStr">
        <is>
          <t>#7</t>
        </is>
      </c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C42" s="23" t="inlineStr">
        <is>
          <t>Hecho el 2026-10-21: src/reporting/export.py y página Reportes de la app web (CU04)</t>
        </is>
      </c>
    </row>
    <row r="43" ht="20.1" customHeight="1" s="1">
      <c r="B43" s="18" t="n"/>
      <c r="C43" s="19" t="inlineStr">
        <is>
          <t>Detector con ruido de cámara de sala (#55)</t>
        </is>
      </c>
      <c r="D43" s="19" t="inlineStr">
        <is>
          <t>Francisco</t>
        </is>
      </c>
      <c r="E43" s="20" t="n">
        <v>46324</v>
      </c>
      <c r="F43" s="20" t="n">
        <v>46332</v>
      </c>
      <c r="G43" s="19" t="inlineStr">
        <is>
          <t>Pendiente</t>
        </is>
      </c>
      <c r="H43" s="21" t="inlineStr">
        <is>
          <t>#55</t>
        </is>
      </c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C43" s="23" t="n"/>
    </row>
    <row r="44" ht="20.1" customHeight="1" s="1">
      <c r="B44" s="16" t="n"/>
      <c r="C44" s="17" t="inlineStr">
        <is>
          <t>FASE 2 · APLICACIÓN WEB</t>
        </is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</row>
    <row r="45" ht="20.1" customHeight="1" s="1">
      <c r="B45" s="18" t="n"/>
      <c r="C45" s="19" t="inlineStr">
        <is>
          <t>Login, CRUD de usuarios y roles y base de datos (CU00, CU06)</t>
        </is>
      </c>
      <c r="D45" s="19" t="inlineStr">
        <is>
          <t>Francisco</t>
        </is>
      </c>
      <c r="E45" s="20" t="n">
        <v>46313</v>
      </c>
      <c r="F45" s="20" t="n">
        <v>46314</v>
      </c>
      <c r="G45" s="19" t="inlineStr">
        <is>
          <t>Cumplido</t>
        </is>
      </c>
      <c r="H45" s="21" t="inlineStr">
        <is>
          <t>#28</t>
        </is>
      </c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C45" s="23" t="inlineStr">
        <is>
          <t>Hecho en el PR #35 (app web Django + SQLite, 2026-10-18 a 2026-10-19).</t>
        </is>
      </c>
    </row>
    <row r="46" ht="20.1" customHeight="1" s="1">
      <c r="B46" s="18" t="n"/>
      <c r="C46" s="19" t="inlineStr">
        <is>
          <t>Correcciones de la auditoría de la app web (#49-#53)</t>
        </is>
      </c>
      <c r="D46" s="19" t="inlineStr">
        <is>
          <t>Francisco, Mariana</t>
        </is>
      </c>
      <c r="E46" s="20" t="n">
        <v>46317</v>
      </c>
      <c r="F46" s="20" t="n">
        <v>46323</v>
      </c>
      <c r="G46" s="19" t="inlineStr">
        <is>
          <t>En curso</t>
        </is>
      </c>
      <c r="H46" s="21" t="inlineStr">
        <is>
          <t>#49-#53</t>
        </is>
      </c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C46" s="23" t="inlineStr">
        <is>
          <t>Francisco: #49 a #51; Mariana: #52 y #53 (hechos el 22-10)</t>
        </is>
      </c>
    </row>
    <row r="47" ht="20.1" customHeight="1" s="1">
      <c r="B47" s="18" t="n"/>
      <c r="C47" s="19" t="inlineStr">
        <is>
          <t>Dashboard (CU03) y configuración de umbral y cámaras (CU05)</t>
        </is>
      </c>
      <c r="D47" s="19" t="inlineStr">
        <is>
          <t>Mariana</t>
        </is>
      </c>
      <c r="E47" s="20" t="n">
        <v>46317</v>
      </c>
      <c r="F47" s="20" t="n">
        <v>46317</v>
      </c>
      <c r="G47" s="19" t="inlineStr">
        <is>
          <t>Cumplido</t>
        </is>
      </c>
      <c r="H47" s="21" t="inlineStr">
        <is>
          <t>#43, #44</t>
        </is>
      </c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C47" s="23" t="inlineStr">
        <is>
          <t>#44 (CU05) y #43 (CU03) hechos el 22-10</t>
        </is>
      </c>
    </row>
    <row r="48" ht="20.1" customHeight="1" s="1">
      <c r="B48" s="18" t="n"/>
      <c r="C48" s="19" t="inlineStr">
        <is>
          <t>Privacidad de las fotos: borrado tras N días (RNF05)</t>
        </is>
      </c>
      <c r="D48" s="19" t="inlineStr">
        <is>
          <t>Mariana</t>
        </is>
      </c>
      <c r="E48" s="20" t="n">
        <v>46317</v>
      </c>
      <c r="F48" s="20" t="n">
        <v>46317</v>
      </c>
      <c r="G48" s="19" t="inlineStr">
        <is>
          <t>Cumplido</t>
        </is>
      </c>
      <c r="H48" s="21" t="inlineStr">
        <is>
          <t>#45</t>
        </is>
      </c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C48" s="23" t="inlineStr">
        <is>
          <t>Comando borrar_fotos (30 días por defecto, a confirmar con Walmart, #24)</t>
        </is>
      </c>
    </row>
    <row r="49" ht="20.1" customHeight="1" s="1">
      <c r="B49" s="18" t="n"/>
      <c r="C49" s="19" t="inlineStr">
        <is>
          <t>Limpieza de código y CI (#54)</t>
        </is>
      </c>
      <c r="D49" s="19" t="inlineStr">
        <is>
          <t>Mariana</t>
        </is>
      </c>
      <c r="E49" s="20" t="n">
        <v>46323</v>
      </c>
      <c r="F49" s="20" t="n">
        <v>46325</v>
      </c>
      <c r="G49" s="19" t="inlineStr">
        <is>
          <t>Pendiente</t>
        </is>
      </c>
      <c r="H49" s="21" t="inlineStr">
        <is>
          <t>#54</t>
        </is>
      </c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C49" s="23" t="n"/>
    </row>
    <row r="50" ht="20.1" customHeight="1" s="1">
      <c r="B50" s="18" t="n"/>
      <c r="C50" s="19" t="inlineStr">
        <is>
          <t>Auditoría de seguridad por vulnerabilidades recientes (#57)</t>
        </is>
      </c>
      <c r="D50" s="19" t="inlineStr">
        <is>
          <t>Francisco</t>
        </is>
      </c>
      <c r="E50" s="20" t="n">
        <v>46317</v>
      </c>
      <c r="F50" s="20" t="n">
        <v>46323</v>
      </c>
      <c r="G50" s="19" t="inlineStr">
        <is>
          <t>En curso</t>
        </is>
      </c>
      <c r="H50" s="21" t="inlineStr">
        <is>
          <t>#57</t>
        </is>
      </c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C50" s="23" t="inlineStr">
        <is>
          <t>Depende de #28</t>
        </is>
      </c>
    </row>
    <row r="51" ht="20.1" customHeight="1" s="1">
      <c r="B51" s="18" t="n"/>
      <c r="C51" s="19" t="inlineStr">
        <is>
          <t>Primer demo operativo ante Walmart</t>
        </is>
      </c>
      <c r="D51" s="19" t="inlineStr">
        <is>
          <t>Nicko</t>
        </is>
      </c>
      <c r="E51" s="20" t="n">
        <v>46322</v>
      </c>
      <c r="F51" s="20" t="n">
        <v>46326</v>
      </c>
      <c r="G51" s="19" t="inlineStr">
        <is>
          <t>Pendiente</t>
        </is>
      </c>
      <c r="H51" s="21" t="inlineStr">
        <is>
          <t>#29</t>
        </is>
      </c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C51" s="23" t="inlineStr">
        <is>
          <t>Faltan las instrucciones del CITT</t>
        </is>
      </c>
    </row>
    <row r="52" ht="20.1" customHeight="1" s="1">
      <c r="B52" s="18" t="n"/>
      <c r="C52" s="19" t="inlineStr">
        <is>
          <t>Instalación en el servidor del CITT</t>
        </is>
      </c>
      <c r="D52" s="19" t="inlineStr">
        <is>
          <t>Por definir</t>
        </is>
      </c>
      <c r="E52" s="20" t="n"/>
      <c r="F52" s="20" t="n"/>
      <c r="G52" s="19" t="inlineStr">
        <is>
          <t>Bloqueado</t>
        </is>
      </c>
      <c r="H52" s="21" t="inlineStr">
        <is>
          <t>#39</t>
        </is>
      </c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16" t="n"/>
      <c r="AC52" s="16" t="n"/>
    </row>
    <row r="53" ht="20.1" customHeight="1" s="1">
      <c r="B53" s="16" t="n"/>
      <c r="C53" s="17" t="inlineStr">
        <is>
          <t>FASE 2 · DOCUMENTACIÓN</t>
        </is>
      </c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C53" s="23" t="n"/>
    </row>
    <row r="54" ht="20.1" customHeight="1" s="1">
      <c r="B54" s="18" t="n"/>
      <c r="C54" s="19" t="inlineStr">
        <is>
          <t>Registro de requisitos y plazos del curso</t>
        </is>
      </c>
      <c r="D54" s="19" t="inlineStr">
        <is>
          <t>Francisco</t>
        </is>
      </c>
      <c r="E54" s="20" t="n">
        <v>46304</v>
      </c>
      <c r="F54" s="20" t="n">
        <v>46305</v>
      </c>
      <c r="G54" s="19" t="inlineStr">
        <is>
          <t>Cumplido</t>
        </is>
      </c>
      <c r="H54" s="21" t="inlineStr">
        <is>
          <t>#23, #25</t>
        </is>
      </c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C54" s="23" t="n"/>
    </row>
    <row r="55" ht="20.1" customHeight="1" s="1">
      <c r="B55" s="18" t="n"/>
      <c r="C55" s="19" t="inlineStr">
        <is>
          <t>Casos de uso y diagramas alineados con Walmart</t>
        </is>
      </c>
      <c r="D55" s="19" t="inlineStr">
        <is>
          <t>Francisco</t>
        </is>
      </c>
      <c r="E55" s="20" t="n">
        <v>46304</v>
      </c>
      <c r="F55" s="20" t="n">
        <v>46305</v>
      </c>
      <c r="G55" s="19" t="inlineStr">
        <is>
          <t>Cumplido</t>
        </is>
      </c>
      <c r="H55" s="21" t="inlineStr">
        <is>
          <t>#30</t>
        </is>
      </c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C55" s="23" t="inlineStr">
        <is>
          <t>Hecho el 2026-10-20, con atraso (plazo 2026-10-09). docs/plan-de-mejoras.md</t>
        </is>
      </c>
    </row>
    <row r="56" ht="20.1" customHeight="1" s="1">
      <c r="B56" s="18" t="n"/>
      <c r="C56" s="19" t="inlineStr">
        <is>
          <t>Plan de mejoras de la Fase 1</t>
        </is>
      </c>
      <c r="D56" s="19" t="inlineStr">
        <is>
          <t>Mariana</t>
        </is>
      </c>
      <c r="E56" s="20" t="n">
        <v>46315</v>
      </c>
      <c r="F56" s="20" t="n">
        <v>46315</v>
      </c>
      <c r="G56" s="19" t="inlineStr">
        <is>
          <t>Cumplido</t>
        </is>
      </c>
      <c r="H56" s="21" t="inlineStr">
        <is>
          <t>#26</t>
        </is>
      </c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C56" s="23" t="inlineStr">
        <is>
          <t>Antes de Nicko; Francisco lo arma en Word</t>
        </is>
      </c>
    </row>
    <row r="57" ht="20.1" customHeight="1" s="1">
      <c r="B57" s="18" t="n"/>
      <c r="C57" s="19" t="inlineStr">
        <is>
          <t>Informe intermedio: estado de avance y conclusiones</t>
        </is>
      </c>
      <c r="D57" s="19" t="inlineStr">
        <is>
          <t>Francisco</t>
        </is>
      </c>
      <c r="E57" s="20" t="n">
        <v>46314</v>
      </c>
      <c r="F57" s="20" t="n">
        <v>46316</v>
      </c>
      <c r="G57" s="19" t="inlineStr">
        <is>
          <t>Cumplido</t>
        </is>
      </c>
      <c r="H57" s="21" t="inlineStr">
        <is>
          <t>#27</t>
        </is>
      </c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C57" s="23" t="n"/>
    </row>
    <row r="58" ht="20.1" customHeight="1" s="1">
      <c r="B58" s="18" t="n"/>
      <c r="C58" s="19" t="inlineStr">
        <is>
          <t>Análisis de resultados: 10 mejores y 10 peores casos</t>
        </is>
      </c>
      <c r="D58" s="19" t="inlineStr">
        <is>
          <t>Francisco</t>
        </is>
      </c>
      <c r="E58" s="20" t="n">
        <v>46315</v>
      </c>
      <c r="F58" s="20" t="n">
        <v>46315</v>
      </c>
      <c r="G58" s="19" t="inlineStr">
        <is>
          <t>Cumplido</t>
        </is>
      </c>
      <c r="H58" s="21" t="inlineStr">
        <is>
          <t>#34</t>
        </is>
      </c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C58" s="23" t="n"/>
    </row>
    <row r="59" ht="20.1" customHeight="1" s="1">
      <c r="B59" s="18" t="n"/>
      <c r="C59" s="19" t="inlineStr">
        <is>
          <t>README completo</t>
        </is>
      </c>
      <c r="D59" s="19" t="inlineStr">
        <is>
          <t>Francisco</t>
        </is>
      </c>
      <c r="E59" s="20" t="n">
        <v>46315</v>
      </c>
      <c r="F59" s="20" t="n">
        <v>46315</v>
      </c>
      <c r="G59" s="19" t="inlineStr">
        <is>
          <t>Cumplido</t>
        </is>
      </c>
      <c r="H59" s="21" t="inlineStr">
        <is>
          <t>#35</t>
        </is>
      </c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C59" s="23" t="n"/>
    </row>
    <row r="60" ht="20.1" customHeight="1" s="1">
      <c r="B60" s="18" t="n"/>
      <c r="C60" s="19" t="inlineStr">
        <is>
          <t>Video de demostración (5 a 10 min)</t>
        </is>
      </c>
      <c r="D60" s="19" t="inlineStr">
        <is>
          <t>Nicko</t>
        </is>
      </c>
      <c r="E60" s="20" t="n">
        <v>46316</v>
      </c>
      <c r="F60" s="20" t="n">
        <v>46316</v>
      </c>
      <c r="G60" s="19" t="inlineStr">
        <is>
          <t>Pendiente</t>
        </is>
      </c>
      <c r="H60" s="21" t="inlineStr">
        <is>
          <t>#36</t>
        </is>
      </c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C60" s="23" t="inlineStr">
        <is>
          <t>Plazo 2026-10-26. Guía 2.4 al 21-10; diario 2.1 y autoevaluación 2.2 de Mariana el 22-10 (Fase 2/). Faltan los diarios de Francisco y Nicko</t>
        </is>
      </c>
    </row>
    <row r="61" ht="20.1" customHeight="1" s="1">
      <c r="B61" s="18" t="n"/>
      <c r="C61" s="19" t="inlineStr">
        <is>
          <t>Evidencias de avance: diario 2.1 y guía 2.4</t>
        </is>
      </c>
      <c r="D61" s="19" t="inlineStr">
        <is>
          <t>Mariana</t>
        </is>
      </c>
      <c r="E61" s="20" t="n">
        <v>46315</v>
      </c>
      <c r="F61" s="20" t="n">
        <v>46321</v>
      </c>
      <c r="G61" s="19" t="inlineStr">
        <is>
          <t>En curso</t>
        </is>
      </c>
      <c r="H61" s="21" t="inlineStr">
        <is>
          <t>#37</t>
        </is>
      </c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C61" s="23" t="inlineStr">
        <is>
          <t>Hecho el 2026-10-21: plantillas, fuentes Mermaid y PNG (CU00-CU06 y arquitectura). docs/cambios-cu.md</t>
        </is>
      </c>
    </row>
    <row r="62" ht="20.1" customHeight="1" s="1">
      <c r="B62" s="18" t="n"/>
      <c r="C62" s="19" t="inlineStr">
        <is>
          <t>Rehacer plantillas de C.U y diagramas según la app Django</t>
        </is>
      </c>
      <c r="D62" s="19" t="inlineStr">
        <is>
          <t>Mariana</t>
        </is>
      </c>
      <c r="E62" s="20" t="n">
        <v>46316</v>
      </c>
      <c r="F62" s="20" t="n">
        <v>46316</v>
      </c>
      <c r="G62" s="19" t="inlineStr">
        <is>
          <t>Cumplido</t>
        </is>
      </c>
      <c r="H62" s="21" t="inlineStr">
        <is>
          <t>#42</t>
        </is>
      </c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16" t="n"/>
      <c r="AC62" s="16" t="n"/>
    </row>
    <row r="63" ht="20.1" customHeight="1" s="1">
      <c r="B63" s="18" t="n"/>
      <c r="C63" s="19" t="inlineStr">
        <is>
          <t>Especificación técnica del sistema</t>
        </is>
      </c>
      <c r="D63" s="19" t="inlineStr">
        <is>
          <t>Mariana</t>
        </is>
      </c>
      <c r="E63" s="20">
        <v>46317</v>
      </c>
      <c r="F63" s="20">
        <v>46317</v>
      </c>
      <c r="G63" s="19" t="inlineStr">
        <is>
          <t>Cumplido</t>
        </is>
      </c>
      <c r="H63" s="21" t="inlineStr">
        <is>
          <t>#9</t>
        </is>
      </c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16" t="n"/>
      <c r="AC63" s="16" t="inlineStr">
        <is>
          <t>docs/especificacion-tecnica.md, sacada del código</t>
        </is>
      </c>
    </row>
    <row r="64" ht="20.1" customHeight="1" s="1">
      <c r="B64" s="16" t="n"/>
      <c r="C64" s="17" t="inlineStr">
        <is>
          <t>HITOS DEL CURSO</t>
        </is>
      </c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C64" s="23" t="inlineStr">
        <is>
          <t>Entrega 2026-10-21</t>
        </is>
      </c>
    </row>
    <row r="65" ht="20.1" customHeight="1" s="1">
      <c r="B65" s="18" t="n"/>
      <c r="C65" s="19" t="inlineStr">
        <is>
          <t>Informe intermedio y video</t>
        </is>
      </c>
      <c r="D65" s="19" t="inlineStr">
        <is>
          <t>Equipo</t>
        </is>
      </c>
      <c r="E65" s="20" t="n">
        <v>46316</v>
      </c>
      <c r="F65" s="20" t="n">
        <v>46316</v>
      </c>
      <c r="G65" s="19" t="inlineStr">
        <is>
          <t>En curso</t>
        </is>
      </c>
      <c r="H65" s="21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C65" s="23" t="inlineStr">
        <is>
          <t>Día y hora por informar</t>
        </is>
      </c>
    </row>
    <row r="66" ht="20.1" customHeight="1" s="1">
      <c r="B66" s="18" t="n"/>
      <c r="C66" s="19" t="inlineStr">
        <is>
          <t>Feria de informática</t>
        </is>
      </c>
      <c r="D66" s="19" t="inlineStr">
        <is>
          <t>Nicko</t>
        </is>
      </c>
      <c r="E66" s="20" t="n">
        <v>46321</v>
      </c>
      <c r="F66" s="20" t="n">
        <v>46325</v>
      </c>
      <c r="G66" s="19" t="inlineStr">
        <is>
          <t>Pendiente</t>
        </is>
      </c>
      <c r="H66" s="21" t="inlineStr">
        <is>
          <t>#38</t>
        </is>
      </c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C66" s="23" t="inlineStr">
        <is>
          <t>Día exacto por confirmar</t>
        </is>
      </c>
    </row>
    <row r="67" ht="20.1" customHeight="1" s="1">
      <c r="B67" s="18" t="n"/>
      <c r="C67" s="19" t="inlineStr">
        <is>
          <t>Evaluación 2 (Avance): 50% de los C.U y demo del Sprint 1</t>
        </is>
      </c>
      <c r="D67" s="19" t="inlineStr">
        <is>
          <t>Equipo</t>
        </is>
      </c>
      <c r="E67" s="20" t="n">
        <v>46323</v>
      </c>
      <c r="F67" s="20" t="n">
        <v>46325</v>
      </c>
      <c r="G67" s="19" t="inlineStr">
        <is>
          <t>Pendiente</t>
        </is>
      </c>
      <c r="H67" s="21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C67" s="23" t="inlineStr">
        <is>
          <t>Semana 15, por confirmar</t>
        </is>
      </c>
    </row>
    <row r="68" ht="20.1" customHeight="1" s="1">
      <c r="B68" s="18" t="n"/>
      <c r="C68" s="19" t="inlineStr">
        <is>
          <t>Entrega final de la Fase 2</t>
        </is>
      </c>
      <c r="D68" s="19" t="inlineStr">
        <is>
          <t>Equipo</t>
        </is>
      </c>
      <c r="E68" s="20" t="n">
        <v>46349</v>
      </c>
      <c r="F68" s="20" t="n">
        <v>46353</v>
      </c>
      <c r="G68" s="19" t="inlineStr">
        <is>
          <t>Pendiente</t>
        </is>
      </c>
      <c r="H68" s="21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16" t="n"/>
      <c r="AC68" s="16" t="n"/>
    </row>
    <row r="69" ht="20.1" customHeight="1" s="1">
      <c r="B69" s="16" t="n"/>
      <c r="C69" s="17" t="inlineStr">
        <is>
          <t>FASE 3</t>
        </is>
      </c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C69" s="23" t="inlineStr">
        <is>
          <t>Fechas por definir</t>
        </is>
      </c>
    </row>
    <row r="70" ht="15.75" customHeight="1" s="1">
      <c r="B70" s="18" t="n"/>
      <c r="C70" s="19" t="inlineStr">
        <is>
          <t>Ajustes finales, manuales y exposición ante la Comisión</t>
        </is>
      </c>
      <c r="D70" s="19" t="inlineStr">
        <is>
          <t>Equipo</t>
        </is>
      </c>
      <c r="E70" s="20" t="n">
        <v>46356</v>
      </c>
      <c r="F70" s="20" t="n">
        <v>46374</v>
      </c>
      <c r="G70" s="19" t="inlineStr">
        <is>
          <t>Pendiente</t>
        </is>
      </c>
      <c r="H70" s="21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</row>
    <row r="71" ht="15.75" customHeight="1" s="1"/>
    <row r="72" ht="15.75" customHeight="1" s="1"/>
    <row r="73" ht="15.75" customHeight="1" s="1"/>
    <row r="74" ht="15.75" customHeight="1" s="1"/>
    <row r="75" ht="15.75" customHeight="1" s="1"/>
    <row r="76" ht="15.75" customHeight="1" s="1"/>
    <row r="77" ht="15.75" customHeight="1" s="1"/>
    <row r="78" ht="15.75" customHeight="1" s="1"/>
    <row r="79" ht="15.75" customHeight="1" s="1"/>
    <row r="80" ht="15.75" customHeight="1" s="1"/>
    <row r="81" ht="15.75" customHeight="1" s="1"/>
    <row r="82" ht="15.75" customHeight="1" s="1"/>
    <row r="83" ht="15.75" customHeight="1" s="1"/>
    <row r="84" ht="15.75" customHeight="1" s="1"/>
    <row r="85" ht="15.75" customHeight="1" s="1"/>
    <row r="86" ht="15.75" customHeight="1" s="1"/>
    <row r="87" ht="15.75" customHeight="1" s="1"/>
    <row r="88" ht="15.75" customHeight="1" s="1"/>
    <row r="89" ht="15.75" customHeight="1" s="1"/>
    <row r="90" ht="15.75" customHeight="1" s="1"/>
    <row r="91" ht="15.75" customHeight="1" s="1"/>
    <row r="92" ht="15.75" customHeight="1" s="1"/>
    <row r="93" ht="15.75" customHeight="1" s="1"/>
    <row r="94" ht="15.75" customHeight="1" s="1"/>
    <row r="95" ht="15.75" customHeight="1" s="1"/>
    <row r="96" ht="15.75" customHeight="1" s="1"/>
    <row r="97" ht="15.75" customHeight="1" s="1"/>
    <row r="98" ht="15.75" customHeight="1" s="1"/>
    <row r="99" ht="15.75" customHeight="1" s="1"/>
    <row r="100" ht="15.75" customHeight="1" s="1"/>
    <row r="101" ht="15.75" customHeight="1" s="1"/>
    <row r="102" ht="15.75" customHeight="1" s="1"/>
    <row r="103" ht="15.75" customHeight="1" s="1"/>
    <row r="104" ht="15.75" customHeight="1" s="1"/>
    <row r="105" ht="15.75" customHeight="1" s="1"/>
    <row r="106" ht="15.75" customHeight="1" s="1"/>
    <row r="107" ht="15.75" customHeight="1" s="1"/>
    <row r="108" ht="15.75" customHeight="1" s="1"/>
    <row r="109" ht="15.75" customHeight="1" s="1"/>
    <row r="110" ht="15.75" customHeight="1" s="1"/>
    <row r="111" ht="15.75" customHeight="1" s="1"/>
    <row r="112" ht="15.75" customHeight="1" s="1"/>
    <row r="113" ht="15.75" customHeight="1" s="1"/>
    <row r="114" ht="15.75" customHeight="1" s="1"/>
    <row r="115" ht="15.75" customHeight="1" s="1"/>
    <row r="116" ht="15.75" customHeight="1" s="1"/>
    <row r="117" ht="15.75" customHeight="1" s="1"/>
    <row r="118" ht="15.75" customHeight="1" s="1"/>
    <row r="119" ht="15.75" customHeight="1" s="1"/>
    <row r="120" ht="15.75" customHeight="1" s="1"/>
    <row r="121" ht="15.75" customHeight="1" s="1"/>
    <row r="122" ht="15.75" customHeight="1" s="1"/>
    <row r="123" ht="15.75" customHeight="1" s="1"/>
    <row r="124" ht="15.75" customHeight="1" s="1"/>
    <row r="125" ht="15.75" customHeight="1" s="1"/>
    <row r="126" ht="15.75" customHeight="1" s="1"/>
    <row r="127" ht="15.75" customHeight="1" s="1"/>
    <row r="128" ht="15.75" customHeight="1" s="1"/>
    <row r="129" ht="15.75" customHeight="1" s="1"/>
    <row r="130" ht="15.75" customHeight="1" s="1"/>
    <row r="131" ht="15.75" customHeight="1" s="1"/>
    <row r="132" ht="15.75" customHeight="1" s="1"/>
    <row r="133" ht="15.75" customHeight="1" s="1"/>
    <row r="134" ht="15.75" customHeight="1" s="1"/>
    <row r="135" ht="15.75" customHeight="1" s="1"/>
    <row r="136" ht="15.75" customHeight="1" s="1"/>
    <row r="137" ht="15.75" customHeight="1" s="1"/>
    <row r="138" ht="15.75" customHeight="1" s="1"/>
    <row r="139" ht="15.75" customHeight="1" s="1"/>
    <row r="140" ht="15.75" customHeight="1" s="1"/>
    <row r="141" ht="15.75" customHeight="1" s="1"/>
    <row r="142" ht="15.75" customHeight="1" s="1"/>
    <row r="143" ht="15.75" customHeight="1" s="1"/>
    <row r="144" ht="15.75" customHeight="1" s="1"/>
    <row r="145" ht="15.75" customHeight="1" s="1"/>
    <row r="146" ht="15.75" customHeight="1" s="1"/>
    <row r="147" ht="15.75" customHeight="1" s="1"/>
    <row r="148" ht="15.75" customHeight="1" s="1"/>
    <row r="149" ht="15.75" customHeight="1" s="1"/>
    <row r="150" ht="15.75" customHeight="1" s="1"/>
    <row r="151" ht="15.75" customHeight="1" s="1"/>
    <row r="152" ht="15.75" customHeight="1" s="1"/>
    <row r="153" ht="15.75" customHeight="1" s="1"/>
    <row r="154" ht="15.75" customHeight="1" s="1"/>
    <row r="155" ht="15.75" customHeight="1" s="1"/>
    <row r="156" ht="15.75" customHeight="1" s="1"/>
    <row r="157" ht="15.75" customHeight="1" s="1"/>
    <row r="158" ht="15.75" customHeight="1" s="1"/>
    <row r="159" ht="15.75" customHeight="1" s="1"/>
    <row r="160" ht="15.75" customHeight="1" s="1"/>
    <row r="161" ht="15.75" customHeight="1" s="1"/>
    <row r="162" ht="15.75" customHeight="1" s="1"/>
    <row r="163" ht="15.75" customHeight="1" s="1"/>
    <row r="164" ht="15.75" customHeight="1" s="1"/>
    <row r="165" ht="15.75" customHeight="1" s="1"/>
    <row r="166" ht="15.75" customHeight="1" s="1"/>
    <row r="167" ht="15.75" customHeight="1" s="1"/>
    <row r="168" ht="15.75" customHeight="1" s="1"/>
    <row r="169" ht="15.75" customHeight="1" s="1"/>
    <row r="170" ht="15.75" customHeight="1" s="1"/>
    <row r="171" ht="15.75" customHeight="1" s="1"/>
    <row r="172" ht="15.75" customHeight="1" s="1"/>
    <row r="173" ht="15.75" customHeight="1" s="1"/>
    <row r="174" ht="15.75" customHeight="1" s="1"/>
    <row r="175" ht="15.75" customHeight="1" s="1"/>
    <row r="176" ht="15.75" customHeight="1" s="1"/>
    <row r="177" ht="15.75" customHeight="1" s="1"/>
    <row r="178" ht="15.75" customHeight="1" s="1"/>
    <row r="179" ht="15.75" customHeight="1" s="1"/>
    <row r="180" ht="15.75" customHeight="1" s="1"/>
    <row r="181" ht="15.75" customHeight="1" s="1"/>
    <row r="182" ht="15.75" customHeight="1" s="1"/>
    <row r="183" ht="15.75" customHeight="1" s="1"/>
    <row r="184" ht="15.75" customHeight="1" s="1"/>
    <row r="185" ht="15.75" customHeight="1" s="1"/>
    <row r="186" ht="15.75" customHeight="1" s="1"/>
    <row r="187" ht="15.75" customHeight="1" s="1"/>
    <row r="188" ht="15.75" customHeight="1" s="1"/>
    <row r="189" ht="15.75" customHeight="1" s="1"/>
    <row r="190" ht="15.75" customHeight="1" s="1"/>
    <row r="191" ht="15.75" customHeight="1" s="1"/>
    <row r="192" ht="15.75" customHeight="1" s="1"/>
    <row r="193" ht="15.75" customHeight="1" s="1"/>
    <row r="194" ht="15.75" customHeight="1" s="1"/>
    <row r="195" ht="15.75" customHeight="1" s="1"/>
    <row r="196" ht="15.75" customHeight="1" s="1"/>
    <row r="197" ht="15.75" customHeight="1" s="1"/>
    <row r="198" ht="15.75" customHeight="1" s="1"/>
    <row r="199" ht="15.75" customHeight="1" s="1"/>
    <row r="200" ht="15.75" customHeight="1" s="1"/>
    <row r="201" ht="15.75" customHeight="1" s="1"/>
    <row r="202" ht="15.75" customHeight="1" s="1"/>
    <row r="203" ht="15.75" customHeight="1" s="1"/>
    <row r="204" ht="15.75" customHeight="1" s="1"/>
    <row r="205" ht="15.75" customHeight="1" s="1"/>
    <row r="206" ht="15.75" customHeight="1" s="1"/>
    <row r="207" ht="15.75" customHeight="1" s="1"/>
    <row r="208" ht="15.75" customHeight="1" s="1"/>
    <row r="209" ht="15.75" customHeight="1" s="1"/>
    <row r="210" ht="15.75" customHeight="1" s="1"/>
    <row r="211" ht="15.75" customHeight="1" s="1"/>
    <row r="212" ht="15.75" customHeight="1" s="1"/>
    <row r="213" ht="15.75" customHeight="1" s="1"/>
    <row r="214" ht="15.75" customHeight="1" s="1"/>
    <row r="215" ht="15.75" customHeight="1" s="1"/>
    <row r="216" ht="15.75" customHeight="1" s="1"/>
    <row r="217" ht="15.75" customHeight="1" s="1"/>
    <row r="218" ht="15.75" customHeight="1" s="1"/>
    <row r="219" ht="15.75" customHeight="1" s="1"/>
    <row r="220" ht="15.75" customHeight="1" s="1"/>
    <row r="221" ht="15.75" customHeight="1" s="1"/>
    <row r="222" ht="15.75" customHeight="1" s="1"/>
    <row r="223" ht="15.75" customHeight="1" s="1"/>
    <row r="224" ht="15.75" customHeight="1" s="1"/>
    <row r="225" ht="15.75" customHeight="1" s="1"/>
    <row r="226" ht="15.75" customHeight="1" s="1"/>
    <row r="227" ht="15.75" customHeight="1" s="1"/>
    <row r="228" ht="15.75" customHeight="1" s="1"/>
    <row r="229" ht="15.75" customHeight="1" s="1"/>
    <row r="230" ht="15.75" customHeight="1" s="1"/>
    <row r="231" ht="15.75" customHeight="1" s="1"/>
    <row r="232" ht="15.75" customHeight="1" s="1"/>
    <row r="233" ht="15.75" customHeight="1" s="1"/>
    <row r="234" ht="15.75" customHeight="1" s="1"/>
    <row r="235" ht="15.75" customHeight="1" s="1"/>
    <row r="236" ht="15.75" customHeight="1" s="1"/>
    <row r="237" ht="15.75" customHeight="1" s="1"/>
    <row r="238" ht="15.75" customHeight="1" s="1"/>
    <row r="239" ht="15.75" customHeight="1" s="1"/>
    <row r="240" ht="15.75" customHeight="1" s="1"/>
    <row r="241" ht="15.75" customHeight="1" s="1"/>
    <row r="242" ht="15.75" customHeight="1" s="1"/>
    <row r="243" ht="15.75" customHeight="1" s="1"/>
    <row r="244" ht="15.75" customHeight="1" s="1"/>
    <row r="245" ht="15.75" customHeight="1" s="1"/>
    <row r="246" ht="15.75" customHeight="1" s="1"/>
    <row r="247" ht="15.75" customHeight="1" s="1"/>
    <row r="248" ht="15.75" customHeight="1" s="1"/>
    <row r="249" ht="15.75" customHeight="1" s="1"/>
    <row r="250" ht="15.75" customHeight="1" s="1"/>
    <row r="251" ht="15.75" customHeight="1" s="1"/>
    <row r="252" ht="15.75" customHeight="1" s="1"/>
    <row r="253" ht="15.75" customHeight="1" s="1"/>
    <row r="254" ht="15.75" customHeight="1" s="1"/>
    <row r="255" ht="15.75" customHeight="1" s="1"/>
    <row r="256" ht="15.75" customHeight="1" s="1"/>
    <row r="257" ht="15.75" customHeight="1" s="1"/>
    <row r="258" ht="15.75" customHeight="1" s="1"/>
    <row r="259" ht="15.75" customHeight="1" s="1"/>
    <row r="260" ht="15.75" customHeight="1" s="1"/>
    <row r="261" ht="15.75" customHeight="1" s="1"/>
    <row r="262" ht="15.75" customHeight="1" s="1"/>
    <row r="263" ht="15.75" customHeight="1" s="1"/>
    <row r="264" ht="15.75" customHeight="1" s="1"/>
    <row r="265" ht="15.75" customHeight="1" s="1"/>
    <row r="266" ht="15.75" customHeight="1" s="1"/>
    <row r="267" ht="15.75" customHeight="1" s="1"/>
    <row r="268" ht="15.75" customHeight="1" s="1"/>
    <row r="269" ht="15.75" customHeight="1" s="1"/>
    <row r="270" ht="15.75" customHeight="1" s="1"/>
    <row r="271" ht="15.75" customHeight="1" s="1"/>
    <row r="272" ht="15.75" customHeight="1" s="1"/>
    <row r="273" ht="15.75" customHeight="1" s="1"/>
    <row r="274" ht="15.75" customHeight="1" s="1"/>
    <row r="275" ht="15.75" customHeight="1" s="1"/>
    <row r="276" ht="15.75" customHeight="1" s="1"/>
    <row r="277" ht="15.75" customHeight="1" s="1"/>
    <row r="278" ht="15.75" customHeight="1" s="1"/>
    <row r="279" ht="15.75" customHeight="1" s="1"/>
    <row r="280" ht="15.75" customHeight="1" s="1"/>
    <row r="281" ht="15.75" customHeight="1" s="1"/>
    <row r="282" ht="15.75" customHeight="1" s="1"/>
    <row r="283" ht="15.75" customHeight="1" s="1"/>
    <row r="284" ht="15.75" customHeight="1" s="1"/>
    <row r="285" ht="15.75" customHeight="1" s="1"/>
    <row r="286" ht="15.75" customHeight="1" s="1"/>
    <row r="287" ht="15.75" customHeight="1" s="1"/>
    <row r="288" ht="15.75" customHeight="1" s="1"/>
    <row r="289" ht="15.75" customHeight="1" s="1"/>
    <row r="290" ht="15.75" customHeight="1" s="1"/>
    <row r="291" ht="15.75" customHeight="1" s="1"/>
    <row r="292" ht="15.75" customHeight="1" s="1"/>
    <row r="293" ht="15.75" customHeight="1" s="1"/>
    <row r="294" ht="15.75" customHeight="1" s="1"/>
    <row r="295" ht="15.75" customHeight="1" s="1"/>
    <row r="296" ht="15.75" customHeight="1" s="1"/>
    <row r="297" ht="15.75" customHeight="1" s="1"/>
    <row r="298" ht="15.75" customHeight="1" s="1"/>
    <row r="299" ht="15.75" customHeight="1" s="1"/>
    <row r="300" ht="15.75" customHeight="1" s="1"/>
    <row r="301" ht="15.75" customHeight="1" s="1"/>
    <row r="302" ht="15.75" customHeight="1" s="1"/>
    <row r="303" ht="15.75" customHeight="1" s="1"/>
    <row r="304" ht="15.75" customHeight="1" s="1"/>
    <row r="305" ht="15.75" customHeight="1" s="1"/>
    <row r="306" ht="15.75" customHeight="1" s="1"/>
    <row r="307" ht="15.75" customHeight="1" s="1"/>
    <row r="308" ht="15.75" customHeight="1" s="1"/>
    <row r="309" ht="15.75" customHeight="1" s="1"/>
    <row r="310" ht="15.75" customHeight="1" s="1"/>
    <row r="311" ht="15.75" customHeight="1" s="1"/>
    <row r="312" ht="15.75" customHeight="1" s="1"/>
    <row r="313" ht="15.75" customHeight="1" s="1"/>
    <row r="314" ht="15.75" customHeight="1" s="1"/>
    <row r="315" ht="15.75" customHeight="1" s="1"/>
    <row r="316" ht="15.75" customHeight="1" s="1"/>
    <row r="317" ht="15.75" customHeight="1" s="1"/>
    <row r="318" ht="15.75" customHeight="1" s="1"/>
    <row r="319" ht="15.75" customHeight="1" s="1"/>
    <row r="320" ht="15.75" customHeight="1" s="1"/>
    <row r="321" ht="15.75" customHeight="1" s="1"/>
    <row r="322" ht="15.75" customHeight="1" s="1"/>
    <row r="323" ht="15.75" customHeight="1" s="1"/>
    <row r="324" ht="15.75" customHeight="1" s="1"/>
    <row r="325" ht="15.75" customHeight="1" s="1"/>
    <row r="326" ht="15.75" customHeight="1" s="1"/>
    <row r="327" ht="15.75" customHeight="1" s="1"/>
    <row r="328" ht="15.75" customHeight="1" s="1"/>
    <row r="329" ht="15.75" customHeight="1" s="1"/>
    <row r="330" ht="15.75" customHeight="1" s="1"/>
    <row r="331" ht="15.75" customHeight="1" s="1"/>
    <row r="332" ht="15.75" customHeight="1" s="1"/>
    <row r="333" ht="15.75" customHeight="1" s="1"/>
    <row r="334" ht="15.75" customHeight="1" s="1"/>
    <row r="335" ht="15.75" customHeight="1" s="1"/>
    <row r="336" ht="15.75" customHeight="1" s="1"/>
    <row r="337" ht="15.75" customHeight="1" s="1"/>
    <row r="338" ht="15.75" customHeight="1" s="1"/>
    <row r="339" ht="15.75" customHeight="1" s="1"/>
    <row r="340" ht="15.75" customHeight="1" s="1"/>
    <row r="341" ht="15.75" customHeight="1" s="1"/>
    <row r="342" ht="15.75" customHeight="1" s="1"/>
    <row r="343" ht="15.75" customHeight="1" s="1"/>
    <row r="344" ht="15.75" customHeight="1" s="1"/>
    <row r="345" ht="15.75" customHeight="1" s="1"/>
    <row r="346" ht="15.75" customHeight="1" s="1"/>
    <row r="347" ht="15.75" customHeight="1" s="1"/>
    <row r="348" ht="15.75" customHeight="1" s="1"/>
    <row r="349" ht="15.75" customHeight="1" s="1"/>
    <row r="350" ht="15.75" customHeight="1" s="1"/>
    <row r="351" ht="15.75" customHeight="1" s="1"/>
    <row r="352" ht="15.75" customHeight="1" s="1"/>
    <row r="353" ht="15.75" customHeight="1" s="1"/>
    <row r="354" ht="15.75" customHeight="1" s="1"/>
    <row r="355" ht="15.75" customHeight="1" s="1"/>
    <row r="356" ht="15.75" customHeight="1" s="1"/>
    <row r="357" ht="15.75" customHeight="1" s="1"/>
    <row r="358" ht="15.75" customHeight="1" s="1"/>
    <row r="359" ht="15.75" customHeight="1" s="1"/>
    <row r="360" ht="15.75" customHeight="1" s="1"/>
    <row r="361" ht="15.75" customHeight="1" s="1"/>
    <row r="362" ht="15.75" customHeight="1" s="1"/>
    <row r="363" ht="15.75" customHeight="1" s="1"/>
    <row r="364" ht="15.75" customHeight="1" s="1"/>
    <row r="365" ht="15.75" customHeight="1" s="1"/>
    <row r="366" ht="15.75" customHeight="1" s="1"/>
    <row r="367" ht="15.75" customHeight="1" s="1"/>
    <row r="368" ht="15.75" customHeight="1" s="1"/>
    <row r="369" ht="15.75" customHeight="1" s="1"/>
    <row r="370" ht="15.75" customHeight="1" s="1"/>
    <row r="371" ht="15.75" customHeight="1" s="1"/>
    <row r="372" ht="15.75" customHeight="1" s="1"/>
    <row r="373" ht="15.75" customHeight="1" s="1"/>
    <row r="374" ht="15.75" customHeight="1" s="1"/>
    <row r="375" ht="15.75" customHeight="1" s="1"/>
    <row r="376" ht="15.75" customHeight="1" s="1"/>
    <row r="377" ht="15.75" customHeight="1" s="1"/>
    <row r="378" ht="15.75" customHeight="1" s="1"/>
    <row r="379" ht="15.75" customHeight="1" s="1"/>
    <row r="380" ht="15.75" customHeight="1" s="1"/>
    <row r="381" ht="15.75" customHeight="1" s="1"/>
    <row r="382" ht="15.75" customHeight="1" s="1"/>
    <row r="383" ht="15.75" customHeight="1" s="1"/>
    <row r="384" ht="15.75" customHeight="1" s="1"/>
    <row r="385" ht="15.75" customHeight="1" s="1"/>
    <row r="386" ht="15.75" customHeight="1" s="1"/>
    <row r="387" ht="15.75" customHeight="1" s="1"/>
    <row r="388" ht="15.75" customHeight="1" s="1"/>
    <row r="389" ht="15.75" customHeight="1" s="1"/>
    <row r="390" ht="15.75" customHeight="1" s="1"/>
    <row r="391" ht="15.75" customHeight="1" s="1"/>
    <row r="392" ht="15.75" customHeight="1" s="1"/>
    <row r="393" ht="15.75" customHeight="1" s="1"/>
    <row r="394" ht="15.75" customHeight="1" s="1"/>
    <row r="395" ht="15.75" customHeight="1" s="1"/>
    <row r="396" ht="15.75" customHeight="1" s="1"/>
    <row r="397" ht="15.75" customHeight="1" s="1"/>
    <row r="398" ht="15.75" customHeight="1" s="1"/>
    <row r="399" ht="15.75" customHeight="1" s="1"/>
    <row r="400" ht="15.75" customHeight="1" s="1"/>
    <row r="401" ht="15.75" customHeight="1" s="1"/>
    <row r="402" ht="15.75" customHeight="1" s="1"/>
    <row r="403" ht="15.75" customHeight="1" s="1"/>
    <row r="404" ht="15.75" customHeight="1" s="1"/>
    <row r="405" ht="15.75" customHeight="1" s="1"/>
    <row r="406" ht="15.75" customHeight="1" s="1"/>
    <row r="407" ht="15.75" customHeight="1" s="1"/>
    <row r="408" ht="15.75" customHeight="1" s="1"/>
    <row r="409" ht="15.75" customHeight="1" s="1"/>
    <row r="410" ht="15.75" customHeight="1" s="1"/>
    <row r="411" ht="15.75" customHeight="1" s="1"/>
    <row r="412" ht="15.75" customHeight="1" s="1"/>
    <row r="413" ht="15.75" customHeight="1" s="1"/>
    <row r="414" ht="15.75" customHeight="1" s="1"/>
    <row r="415" ht="15.75" customHeight="1" s="1"/>
    <row r="416" ht="15.75" customHeight="1" s="1"/>
    <row r="417" ht="15.75" customHeight="1" s="1"/>
    <row r="418" ht="15.75" customHeight="1" s="1"/>
    <row r="419" ht="15.75" customHeight="1" s="1"/>
    <row r="420" ht="15.75" customHeight="1" s="1"/>
    <row r="421" ht="15.75" customHeight="1" s="1"/>
    <row r="422" ht="15.75" customHeight="1" s="1"/>
    <row r="423" ht="15.75" customHeight="1" s="1"/>
    <row r="424" ht="15.75" customHeight="1" s="1"/>
    <row r="425" ht="15.75" customHeight="1" s="1"/>
    <row r="426" ht="15.75" customHeight="1" s="1"/>
    <row r="427" ht="15.75" customHeight="1" s="1"/>
    <row r="428" ht="15.75" customHeight="1" s="1"/>
    <row r="429" ht="15.75" customHeight="1" s="1"/>
    <row r="430" ht="15.75" customHeight="1" s="1"/>
    <row r="431" ht="15.75" customHeight="1" s="1"/>
    <row r="432" ht="15.75" customHeight="1" s="1"/>
    <row r="433" ht="15.75" customHeight="1" s="1"/>
    <row r="434" ht="15.75" customHeight="1" s="1"/>
    <row r="435" ht="15.75" customHeight="1" s="1"/>
    <row r="436" ht="15.75" customHeight="1" s="1"/>
    <row r="437" ht="15.75" customHeight="1" s="1"/>
    <row r="438" ht="15.75" customHeight="1" s="1"/>
    <row r="439" ht="15.75" customHeight="1" s="1"/>
    <row r="440" ht="15.75" customHeight="1" s="1"/>
    <row r="441" ht="15.75" customHeight="1" s="1"/>
    <row r="442" ht="15.75" customHeight="1" s="1"/>
    <row r="443" ht="15.75" customHeight="1" s="1"/>
    <row r="444" ht="15.75" customHeight="1" s="1"/>
    <row r="445" ht="15.75" customHeight="1" s="1"/>
    <row r="446" ht="15.75" customHeight="1" s="1"/>
    <row r="447" ht="15.75" customHeight="1" s="1"/>
    <row r="448" ht="15.75" customHeight="1" s="1"/>
    <row r="449" ht="15.75" customHeight="1" s="1"/>
    <row r="450" ht="15.75" customHeight="1" s="1"/>
    <row r="451" ht="15.75" customHeight="1" s="1"/>
    <row r="452" ht="15.75" customHeight="1" s="1"/>
    <row r="453" ht="15.75" customHeight="1" s="1"/>
    <row r="454" ht="15.75" customHeight="1" s="1"/>
    <row r="455" ht="15.75" customHeight="1" s="1"/>
    <row r="456" ht="15.75" customHeight="1" s="1"/>
    <row r="457" ht="15.75" customHeight="1" s="1"/>
    <row r="458" ht="15.75" customHeight="1" s="1"/>
    <row r="459" ht="15.75" customHeight="1" s="1"/>
    <row r="460" ht="15.75" customHeight="1" s="1"/>
    <row r="461" ht="15.75" customHeight="1" s="1"/>
    <row r="462" ht="15.75" customHeight="1" s="1"/>
    <row r="463" ht="15.75" customHeight="1" s="1"/>
    <row r="464" ht="15.75" customHeight="1" s="1"/>
    <row r="465" ht="15.75" customHeight="1" s="1"/>
    <row r="466" ht="15.75" customHeight="1" s="1"/>
    <row r="467" ht="15.75" customHeight="1" s="1"/>
    <row r="468" ht="15.75" customHeight="1" s="1"/>
    <row r="469" ht="15.75" customHeight="1" s="1"/>
    <row r="470" ht="15.75" customHeight="1" s="1"/>
    <row r="471" ht="15.75" customHeight="1" s="1"/>
    <row r="472" ht="15.75" customHeight="1" s="1"/>
    <row r="473" ht="15.75" customHeight="1" s="1"/>
    <row r="474" ht="15.75" customHeight="1" s="1"/>
    <row r="475" ht="15.75" customHeight="1" s="1"/>
    <row r="476" ht="15.75" customHeight="1" s="1"/>
    <row r="477" ht="15.75" customHeight="1" s="1"/>
    <row r="478" ht="15.75" customHeight="1" s="1"/>
    <row r="479" ht="15.75" customHeight="1" s="1"/>
    <row r="480" ht="15.75" customHeight="1" s="1"/>
    <row r="481" ht="15.75" customHeight="1" s="1"/>
    <row r="482" ht="15.75" customHeight="1" s="1"/>
    <row r="483" ht="15.75" customHeight="1" s="1"/>
    <row r="484" ht="15.75" customHeight="1" s="1"/>
    <row r="485" ht="15.75" customHeight="1" s="1"/>
    <row r="486" ht="15.75" customHeight="1" s="1"/>
    <row r="487" ht="15.75" customHeight="1" s="1"/>
    <row r="488" ht="15.75" customHeight="1" s="1"/>
    <row r="489" ht="15.75" customHeight="1" s="1"/>
    <row r="490" ht="15.75" customHeight="1" s="1"/>
    <row r="491" ht="15.75" customHeight="1" s="1"/>
    <row r="492" ht="15.75" customHeight="1" s="1"/>
    <row r="493" ht="15.75" customHeight="1" s="1"/>
    <row r="494" ht="15.75" customHeight="1" s="1"/>
    <row r="495" ht="15.75" customHeight="1" s="1"/>
    <row r="496" ht="15.75" customHeight="1" s="1"/>
    <row r="497" ht="15.75" customHeight="1" s="1"/>
    <row r="498" ht="15.75" customHeight="1" s="1"/>
    <row r="499" ht="15.75" customHeight="1" s="1"/>
    <row r="500" ht="15.75" customHeight="1" s="1"/>
    <row r="501" ht="15.75" customHeight="1" s="1"/>
    <row r="502" ht="15.75" customHeight="1" s="1"/>
    <row r="503" ht="15.75" customHeight="1" s="1"/>
    <row r="504" ht="15.75" customHeight="1" s="1"/>
    <row r="505" ht="15.75" customHeight="1" s="1"/>
    <row r="506" ht="15.75" customHeight="1" s="1"/>
    <row r="507" ht="15.75" customHeight="1" s="1"/>
    <row r="508" ht="15.75" customHeight="1" s="1"/>
    <row r="509" ht="15.75" customHeight="1" s="1"/>
    <row r="510" ht="15.75" customHeight="1" s="1"/>
    <row r="511" ht="15.75" customHeight="1" s="1"/>
    <row r="512" ht="15.75" customHeight="1" s="1"/>
    <row r="513" ht="15.75" customHeight="1" s="1"/>
    <row r="514" ht="15.75" customHeight="1" s="1"/>
    <row r="515" ht="15.75" customHeight="1" s="1"/>
    <row r="516" ht="15.75" customHeight="1" s="1"/>
    <row r="517" ht="15.75" customHeight="1" s="1"/>
    <row r="518" ht="15.75" customHeight="1" s="1"/>
    <row r="519" ht="15.75" customHeight="1" s="1"/>
    <row r="520" ht="15.75" customHeight="1" s="1"/>
    <row r="521" ht="15.75" customHeight="1" s="1"/>
    <row r="522" ht="15.75" customHeight="1" s="1"/>
    <row r="523" ht="15.75" customHeight="1" s="1"/>
    <row r="524" ht="15.75" customHeight="1" s="1"/>
    <row r="525" ht="15.75" customHeight="1" s="1"/>
    <row r="526" ht="15.75" customHeight="1" s="1"/>
    <row r="527" ht="15.75" customHeight="1" s="1"/>
    <row r="528" ht="15.75" customHeight="1" s="1"/>
    <row r="529" ht="15.75" customHeight="1" s="1"/>
    <row r="530" ht="15.75" customHeight="1" s="1"/>
    <row r="531" ht="15.75" customHeight="1" s="1"/>
    <row r="532" ht="15.75" customHeight="1" s="1"/>
    <row r="533" ht="15.75" customHeight="1" s="1"/>
    <row r="534" ht="15.75" customHeight="1" s="1"/>
    <row r="535" ht="15.75" customHeight="1" s="1"/>
    <row r="536" ht="15.75" customHeight="1" s="1"/>
    <row r="537" ht="15.75" customHeight="1" s="1"/>
    <row r="538" ht="15.75" customHeight="1" s="1"/>
    <row r="539" ht="15.75" customHeight="1" s="1"/>
    <row r="540" ht="15.75" customHeight="1" s="1"/>
    <row r="541" ht="15.75" customHeight="1" s="1"/>
    <row r="542" ht="15.75" customHeight="1" s="1"/>
    <row r="543" ht="15.75" customHeight="1" s="1"/>
    <row r="544" ht="15.75" customHeight="1" s="1"/>
    <row r="545" ht="15.75" customHeight="1" s="1"/>
    <row r="546" ht="15.75" customHeight="1" s="1"/>
    <row r="547" ht="15.75" customHeight="1" s="1"/>
    <row r="548" ht="15.75" customHeight="1" s="1"/>
    <row r="549" ht="15.75" customHeight="1" s="1"/>
    <row r="550" ht="15.75" customHeight="1" s="1"/>
    <row r="551" ht="15.75" customHeight="1" s="1"/>
    <row r="552" ht="15.75" customHeight="1" s="1"/>
    <row r="553" ht="15.75" customHeight="1" s="1"/>
    <row r="554" ht="15.75" customHeight="1" s="1"/>
    <row r="555" ht="15.75" customHeight="1" s="1"/>
    <row r="556" ht="15.75" customHeight="1" s="1"/>
    <row r="557" ht="15.75" customHeight="1" s="1"/>
    <row r="558" ht="15.75" customHeight="1" s="1"/>
    <row r="559" ht="15.75" customHeight="1" s="1"/>
    <row r="560" ht="15.75" customHeight="1" s="1"/>
    <row r="561" ht="15.75" customHeight="1" s="1"/>
    <row r="562" ht="15.75" customHeight="1" s="1"/>
    <row r="563" ht="15.75" customHeight="1" s="1"/>
    <row r="564" ht="15.75" customHeight="1" s="1"/>
    <row r="565" ht="15.75" customHeight="1" s="1"/>
    <row r="566" ht="15.75" customHeight="1" s="1"/>
    <row r="567" ht="15.75" customHeight="1" s="1"/>
    <row r="568" ht="15.75" customHeight="1" s="1"/>
    <row r="569" ht="15.75" customHeight="1" s="1"/>
    <row r="570" ht="15.75" customHeight="1" s="1"/>
    <row r="571" ht="15.75" customHeight="1" s="1"/>
    <row r="572" ht="15.75" customHeight="1" s="1"/>
    <row r="573" ht="15.75" customHeight="1" s="1"/>
    <row r="574" ht="15.75" customHeight="1" s="1"/>
    <row r="575" ht="15.75" customHeight="1" s="1"/>
    <row r="576" ht="15.75" customHeight="1" s="1"/>
    <row r="577" ht="15.75" customHeight="1" s="1"/>
    <row r="578" ht="15.75" customHeight="1" s="1"/>
    <row r="579" ht="15.75" customHeight="1" s="1"/>
    <row r="580" ht="15.75" customHeight="1" s="1"/>
    <row r="581" ht="15.75" customHeight="1" s="1"/>
    <row r="582" ht="15.75" customHeight="1" s="1"/>
    <row r="583" ht="15.75" customHeight="1" s="1"/>
    <row r="584" ht="15.75" customHeight="1" s="1"/>
    <row r="585" ht="15.75" customHeight="1" s="1"/>
    <row r="586" ht="15.75" customHeight="1" s="1"/>
    <row r="587" ht="15.75" customHeight="1" s="1"/>
    <row r="588" ht="15.75" customHeight="1" s="1"/>
    <row r="589" ht="15.75" customHeight="1" s="1"/>
    <row r="590" ht="15.75" customHeight="1" s="1"/>
    <row r="591" ht="15.75" customHeight="1" s="1"/>
    <row r="592" ht="15.75" customHeight="1" s="1"/>
    <row r="593" ht="15.75" customHeight="1" s="1"/>
    <row r="594" ht="15.75" customHeight="1" s="1"/>
    <row r="595" ht="15.75" customHeight="1" s="1"/>
    <row r="596" ht="15.75" customHeight="1" s="1"/>
    <row r="597" ht="15.75" customHeight="1" s="1"/>
    <row r="598" ht="15.75" customHeight="1" s="1"/>
    <row r="599" ht="15.75" customHeight="1" s="1"/>
    <row r="600" ht="15.75" customHeight="1" s="1"/>
    <row r="601" ht="15.75" customHeight="1" s="1"/>
    <row r="602" ht="15.75" customHeight="1" s="1"/>
    <row r="603" ht="15.75" customHeight="1" s="1"/>
    <row r="604" ht="15.75" customHeight="1" s="1"/>
    <row r="605" ht="15.75" customHeight="1" s="1"/>
    <row r="606" ht="15.75" customHeight="1" s="1"/>
    <row r="607" ht="15.75" customHeight="1" s="1"/>
    <row r="608" ht="15.75" customHeight="1" s="1"/>
    <row r="609" ht="15.75" customHeight="1" s="1"/>
    <row r="610" ht="15.75" customHeight="1" s="1"/>
    <row r="611" ht="15.75" customHeight="1" s="1"/>
    <row r="612" ht="15.75" customHeight="1" s="1"/>
    <row r="613" ht="15.75" customHeight="1" s="1"/>
    <row r="614" ht="15.75" customHeight="1" s="1"/>
    <row r="615" ht="15.75" customHeight="1" s="1"/>
    <row r="616" ht="15.75" customHeight="1" s="1"/>
    <row r="617" ht="15.75" customHeight="1" s="1"/>
    <row r="618" ht="15.75" customHeight="1" s="1"/>
    <row r="619" ht="15.75" customHeight="1" s="1"/>
    <row r="620" ht="15.75" customHeight="1" s="1"/>
    <row r="621" ht="15.75" customHeight="1" s="1"/>
    <row r="622" ht="15.75" customHeight="1" s="1"/>
    <row r="623" ht="15.75" customHeight="1" s="1"/>
    <row r="624" ht="15.75" customHeight="1" s="1"/>
    <row r="625" ht="15.75" customHeight="1" s="1"/>
    <row r="626" ht="15.75" customHeight="1" s="1"/>
    <row r="627" ht="15.75" customHeight="1" s="1"/>
    <row r="628" ht="15.75" customHeight="1" s="1"/>
    <row r="629" ht="15.75" customHeight="1" s="1"/>
    <row r="630" ht="15.75" customHeight="1" s="1"/>
    <row r="631" ht="15.75" customHeight="1" s="1"/>
    <row r="632" ht="15.75" customHeight="1" s="1"/>
    <row r="633" ht="15.75" customHeight="1" s="1"/>
    <row r="634" ht="15.75" customHeight="1" s="1"/>
    <row r="635" ht="15.75" customHeight="1" s="1"/>
    <row r="636" ht="15.75" customHeight="1" s="1"/>
    <row r="637" ht="15.75" customHeight="1" s="1"/>
    <row r="638" ht="15.75" customHeight="1" s="1"/>
    <row r="639" ht="15.75" customHeight="1" s="1"/>
    <row r="640" ht="15.75" customHeight="1" s="1"/>
    <row r="641" ht="15.75" customHeight="1" s="1"/>
    <row r="642" ht="15.75" customHeight="1" s="1"/>
    <row r="643" ht="15.75" customHeight="1" s="1"/>
    <row r="644" ht="15.75" customHeight="1" s="1"/>
    <row r="645" ht="15.75" customHeight="1" s="1"/>
    <row r="646" ht="15.75" customHeight="1" s="1"/>
    <row r="647" ht="15.75" customHeight="1" s="1"/>
    <row r="648" ht="15.75" customHeight="1" s="1"/>
    <row r="649" ht="15.75" customHeight="1" s="1"/>
    <row r="650" ht="15.75" customHeight="1" s="1"/>
    <row r="651" ht="15.75" customHeight="1" s="1"/>
    <row r="652" ht="15.75" customHeight="1" s="1"/>
    <row r="653" ht="15.75" customHeight="1" s="1"/>
    <row r="654" ht="15.75" customHeight="1" s="1"/>
    <row r="655" ht="15.75" customHeight="1" s="1"/>
    <row r="656" ht="15.75" customHeight="1" s="1"/>
    <row r="657" ht="15.75" customHeight="1" s="1"/>
    <row r="658" ht="15.75" customHeight="1" s="1"/>
    <row r="659" ht="15.75" customHeight="1" s="1"/>
    <row r="660" ht="15.75" customHeight="1" s="1"/>
    <row r="661" ht="15.75" customHeight="1" s="1"/>
    <row r="662" ht="15.75" customHeight="1" s="1"/>
    <row r="663" ht="15.75" customHeight="1" s="1"/>
    <row r="664" ht="15.75" customHeight="1" s="1"/>
    <row r="665" ht="15.75" customHeight="1" s="1"/>
    <row r="666" ht="15.75" customHeight="1" s="1"/>
    <row r="667" ht="15.75" customHeight="1" s="1"/>
    <row r="668" ht="15.75" customHeight="1" s="1"/>
    <row r="669" ht="15.75" customHeight="1" s="1"/>
    <row r="670" ht="15.75" customHeight="1" s="1"/>
    <row r="671" ht="15.75" customHeight="1" s="1"/>
    <row r="672" ht="15.75" customHeight="1" s="1"/>
    <row r="673" ht="15.75" customHeight="1" s="1"/>
    <row r="674" ht="15.75" customHeight="1" s="1"/>
    <row r="675" ht="15.75" customHeight="1" s="1"/>
    <row r="676" ht="15.75" customHeight="1" s="1"/>
    <row r="677" ht="15.75" customHeight="1" s="1"/>
    <row r="678" ht="15.75" customHeight="1" s="1"/>
    <row r="679" ht="15.75" customHeight="1" s="1"/>
    <row r="680" ht="15.75" customHeight="1" s="1"/>
    <row r="681" ht="15.75" customHeight="1" s="1"/>
    <row r="682" ht="15.75" customHeight="1" s="1"/>
    <row r="683" ht="15.75" customHeight="1" s="1"/>
    <row r="684" ht="15.75" customHeight="1" s="1"/>
    <row r="685" ht="15.75" customHeight="1" s="1"/>
    <row r="686" ht="15.75" customHeight="1" s="1"/>
    <row r="687" ht="15.75" customHeight="1" s="1"/>
    <row r="688" ht="15.75" customHeight="1" s="1"/>
    <row r="689" ht="15.75" customHeight="1" s="1"/>
    <row r="690" ht="15.75" customHeight="1" s="1"/>
    <row r="691" ht="15.75" customHeight="1" s="1"/>
    <row r="692" ht="15.75" customHeight="1" s="1"/>
    <row r="693" ht="15.75" customHeight="1" s="1"/>
    <row r="694" ht="15.75" customHeight="1" s="1"/>
    <row r="695" ht="15.75" customHeight="1" s="1"/>
    <row r="696" ht="15.75" customHeight="1" s="1"/>
    <row r="697" ht="15.75" customHeight="1" s="1"/>
    <row r="698" ht="15.75" customHeight="1" s="1"/>
    <row r="699" ht="15.75" customHeight="1" s="1"/>
    <row r="700" ht="15.75" customHeight="1" s="1"/>
    <row r="701" ht="15.75" customHeight="1" s="1"/>
    <row r="702" ht="15.75" customHeight="1" s="1"/>
    <row r="703" ht="15.75" customHeight="1" s="1"/>
    <row r="704" ht="15.75" customHeight="1" s="1"/>
    <row r="705" ht="15.75" customHeight="1" s="1"/>
    <row r="706" ht="15.75" customHeight="1" s="1"/>
    <row r="707" ht="15.75" customHeight="1" s="1"/>
    <row r="708" ht="15.75" customHeight="1" s="1"/>
    <row r="709" ht="15.75" customHeight="1" s="1"/>
    <row r="710" ht="15.75" customHeight="1" s="1"/>
    <row r="711" ht="15.75" customHeight="1" s="1"/>
    <row r="712" ht="15.75" customHeight="1" s="1"/>
    <row r="713" ht="15.75" customHeight="1" s="1"/>
    <row r="714" ht="15.75" customHeight="1" s="1"/>
    <row r="715" ht="15.75" customHeight="1" s="1"/>
    <row r="716" ht="15.75" customHeight="1" s="1"/>
    <row r="717" ht="15.75" customHeight="1" s="1"/>
    <row r="718" ht="15.75" customHeight="1" s="1"/>
    <row r="719" ht="15.75" customHeight="1" s="1"/>
    <row r="720" ht="15.75" customHeight="1" s="1"/>
    <row r="721" ht="15.75" customHeight="1" s="1"/>
    <row r="722" ht="15.75" customHeight="1" s="1"/>
    <row r="723" ht="15.75" customHeight="1" s="1"/>
    <row r="724" ht="15.75" customHeight="1" s="1"/>
    <row r="725" ht="15.75" customHeight="1" s="1"/>
    <row r="726" ht="15.75" customHeight="1" s="1"/>
    <row r="727" ht="15.75" customHeight="1" s="1"/>
    <row r="728" ht="15.75" customHeight="1" s="1"/>
    <row r="729" ht="15.75" customHeight="1" s="1"/>
    <row r="730" ht="15.75" customHeight="1" s="1"/>
    <row r="731" ht="15.75" customHeight="1" s="1"/>
    <row r="732" ht="15.75" customHeight="1" s="1"/>
    <row r="733" ht="15.75" customHeight="1" s="1"/>
    <row r="734" ht="15.75" customHeight="1" s="1"/>
    <row r="735" ht="15.75" customHeight="1" s="1"/>
    <row r="736" ht="15.75" customHeight="1" s="1"/>
    <row r="737" ht="15.75" customHeight="1" s="1"/>
    <row r="738" ht="15.75" customHeight="1" s="1"/>
    <row r="739" ht="15.75" customHeight="1" s="1"/>
    <row r="740" ht="15.75" customHeight="1" s="1"/>
    <row r="741" ht="15.75" customHeight="1" s="1"/>
    <row r="742" ht="15.75" customHeight="1" s="1"/>
    <row r="743" ht="15.75" customHeight="1" s="1"/>
    <row r="744" ht="15.75" customHeight="1" s="1"/>
    <row r="745" ht="15.75" customHeight="1" s="1"/>
    <row r="746" ht="15.75" customHeight="1" s="1"/>
    <row r="747" ht="15.75" customHeight="1" s="1"/>
    <row r="748" ht="15.75" customHeight="1" s="1"/>
    <row r="749" ht="15.75" customHeight="1" s="1"/>
    <row r="750" ht="15.75" customHeight="1" s="1"/>
    <row r="751" ht="15.75" customHeight="1" s="1"/>
    <row r="752" ht="15.75" customHeight="1" s="1"/>
    <row r="753" ht="15.75" customHeight="1" s="1"/>
    <row r="754" ht="15.75" customHeight="1" s="1"/>
    <row r="755" ht="15.75" customHeight="1" s="1"/>
    <row r="756" ht="15.75" customHeight="1" s="1"/>
    <row r="757" ht="15.75" customHeight="1" s="1"/>
    <row r="758" ht="15.75" customHeight="1" s="1"/>
    <row r="759" ht="15.75" customHeight="1" s="1"/>
    <row r="760" ht="15.75" customHeight="1" s="1"/>
    <row r="761" ht="15.75" customHeight="1" s="1"/>
    <row r="762" ht="15.75" customHeight="1" s="1"/>
    <row r="763" ht="15.75" customHeight="1" s="1"/>
    <row r="764" ht="15.75" customHeight="1" s="1"/>
    <row r="765" ht="15.75" customHeight="1" s="1"/>
    <row r="766" ht="15.75" customHeight="1" s="1"/>
    <row r="767" ht="15.75" customHeight="1" s="1"/>
    <row r="768" ht="15.75" customHeight="1" s="1"/>
    <row r="769" ht="15.75" customHeight="1" s="1"/>
    <row r="770" ht="15.75" customHeight="1" s="1"/>
    <row r="771" ht="15.75" customHeight="1" s="1"/>
    <row r="772" ht="15.75" customHeight="1" s="1"/>
    <row r="773" ht="15.75" customHeight="1" s="1"/>
    <row r="774" ht="15.75" customHeight="1" s="1"/>
    <row r="775" ht="15.75" customHeight="1" s="1"/>
    <row r="776" ht="15.75" customHeight="1" s="1"/>
    <row r="777" ht="15.75" customHeight="1" s="1"/>
    <row r="778" ht="15.75" customHeight="1" s="1"/>
    <row r="779" ht="15.75" customHeight="1" s="1"/>
    <row r="780" ht="15.75" customHeight="1" s="1"/>
    <row r="781" ht="15.75" customHeight="1" s="1"/>
    <row r="782" ht="15.75" customHeight="1" s="1"/>
    <row r="783" ht="15.75" customHeight="1" s="1"/>
    <row r="784" ht="15.75" customHeight="1" s="1"/>
    <row r="785" ht="15.75" customHeight="1" s="1"/>
    <row r="786" ht="15.75" customHeight="1" s="1"/>
    <row r="787" ht="15.75" customHeight="1" s="1"/>
    <row r="788" ht="15.75" customHeight="1" s="1"/>
    <row r="789" ht="15.75" customHeight="1" s="1"/>
    <row r="790" ht="15.75" customHeight="1" s="1"/>
    <row r="791" ht="15.75" customHeight="1" s="1"/>
    <row r="792" ht="15.75" customHeight="1" s="1"/>
    <row r="793" ht="15.75" customHeight="1" s="1"/>
    <row r="794" ht="15.75" customHeight="1" s="1"/>
    <row r="795" ht="15.75" customHeight="1" s="1"/>
    <row r="796" ht="15.75" customHeight="1" s="1"/>
    <row r="797" ht="15.75" customHeight="1" s="1"/>
    <row r="798" ht="15.75" customHeight="1" s="1"/>
    <row r="799" ht="15.75" customHeight="1" s="1"/>
    <row r="800" ht="15.75" customHeight="1" s="1"/>
    <row r="801" ht="15.75" customHeight="1" s="1"/>
    <row r="802" ht="15.75" customHeight="1" s="1"/>
    <row r="803" ht="15.75" customHeight="1" s="1"/>
    <row r="804" ht="15.75" customHeight="1" s="1"/>
    <row r="805" ht="15.75" customHeight="1" s="1"/>
    <row r="806" ht="15.75" customHeight="1" s="1"/>
    <row r="807" ht="15.75" customHeight="1" s="1"/>
    <row r="808" ht="15.75" customHeight="1" s="1"/>
    <row r="809" ht="15.75" customHeight="1" s="1"/>
    <row r="810" ht="15.75" customHeight="1" s="1"/>
    <row r="811" ht="15.75" customHeight="1" s="1"/>
    <row r="812" ht="15.75" customHeight="1" s="1"/>
    <row r="813" ht="15.75" customHeight="1" s="1"/>
    <row r="814" ht="15.75" customHeight="1" s="1"/>
    <row r="815" ht="15.75" customHeight="1" s="1"/>
    <row r="816" ht="15.75" customHeight="1" s="1"/>
    <row r="817" ht="15.75" customHeight="1" s="1"/>
    <row r="818" ht="15.75" customHeight="1" s="1"/>
    <row r="819" ht="15.75" customHeight="1" s="1"/>
    <row r="820" ht="15.75" customHeight="1" s="1"/>
    <row r="821" ht="15.75" customHeight="1" s="1"/>
    <row r="822" ht="15.75" customHeight="1" s="1"/>
    <row r="823" ht="15.75" customHeight="1" s="1"/>
    <row r="824" ht="15.75" customHeight="1" s="1"/>
    <row r="825" ht="15.75" customHeight="1" s="1"/>
    <row r="826" ht="15.75" customHeight="1" s="1"/>
    <row r="827" ht="15.75" customHeight="1" s="1"/>
    <row r="828" ht="15.75" customHeight="1" s="1"/>
    <row r="829" ht="15.75" customHeight="1" s="1"/>
    <row r="830" ht="15.75" customHeight="1" s="1"/>
    <row r="831" ht="15.75" customHeight="1" s="1"/>
    <row r="832" ht="15.75" customHeight="1" s="1"/>
    <row r="833" ht="15.75" customHeight="1" s="1"/>
    <row r="834" ht="15.75" customHeight="1" s="1"/>
    <row r="835" ht="15.75" customHeight="1" s="1"/>
    <row r="836" ht="15.75" customHeight="1" s="1"/>
    <row r="837" ht="15.75" customHeight="1" s="1"/>
    <row r="838" ht="15.75" customHeight="1" s="1"/>
    <row r="839" ht="15.75" customHeight="1" s="1"/>
    <row r="840" ht="15.75" customHeight="1" s="1"/>
    <row r="841" ht="15.75" customHeight="1" s="1"/>
    <row r="842" ht="15.75" customHeight="1" s="1"/>
    <row r="843" ht="15.75" customHeight="1" s="1"/>
    <row r="844" ht="15.75" customHeight="1" s="1"/>
    <row r="845" ht="15.75" customHeight="1" s="1"/>
    <row r="846" ht="15.75" customHeight="1" s="1"/>
    <row r="847" ht="15.75" customHeight="1" s="1"/>
    <row r="848" ht="15.75" customHeight="1" s="1"/>
    <row r="849" ht="15.75" customHeight="1" s="1"/>
    <row r="850" ht="15.75" customHeight="1" s="1"/>
    <row r="851" ht="15.75" customHeight="1" s="1"/>
    <row r="852" ht="15.75" customHeight="1" s="1"/>
    <row r="853" ht="15.75" customHeight="1" s="1"/>
    <row r="854" ht="15.75" customHeight="1" s="1"/>
    <row r="855" ht="15.75" customHeight="1" s="1"/>
    <row r="856" ht="15.75" customHeight="1" s="1"/>
    <row r="857" ht="15.75" customHeight="1" s="1"/>
    <row r="858" ht="15.75" customHeight="1" s="1"/>
    <row r="859" ht="15.75" customHeight="1" s="1"/>
    <row r="860" ht="15.75" customHeight="1" s="1"/>
    <row r="861" ht="15.75" customHeight="1" s="1"/>
    <row r="862" ht="15.75" customHeight="1" s="1"/>
    <row r="863" ht="15.75" customHeight="1" s="1"/>
    <row r="864" ht="15.75" customHeight="1" s="1"/>
    <row r="865" ht="15.75" customHeight="1" s="1"/>
    <row r="866" ht="15.75" customHeight="1" s="1"/>
    <row r="867" ht="15.75" customHeight="1" s="1"/>
    <row r="868" ht="15.75" customHeight="1" s="1"/>
    <row r="869" ht="15.75" customHeight="1" s="1"/>
    <row r="870" ht="15.75" customHeight="1" s="1"/>
    <row r="871" ht="15.75" customHeight="1" s="1"/>
    <row r="872" ht="15.75" customHeight="1" s="1"/>
    <row r="873" ht="15.75" customHeight="1" s="1"/>
    <row r="874" ht="15.75" customHeight="1" s="1"/>
    <row r="875" ht="15.75" customHeight="1" s="1"/>
    <row r="876" ht="15.75" customHeight="1" s="1"/>
    <row r="877" ht="15.75" customHeight="1" s="1"/>
    <row r="878" ht="15.75" customHeight="1" s="1"/>
    <row r="879" ht="15.75" customHeight="1" s="1"/>
    <row r="880" ht="15.75" customHeight="1" s="1"/>
    <row r="881" ht="15.75" customHeight="1" s="1"/>
    <row r="882" ht="15.75" customHeight="1" s="1"/>
    <row r="883" ht="15.75" customHeight="1" s="1"/>
    <row r="884" ht="15.75" customHeight="1" s="1"/>
    <row r="885" ht="15.75" customHeight="1" s="1"/>
    <row r="886" ht="15.75" customHeight="1" s="1"/>
    <row r="887" ht="15.75" customHeight="1" s="1"/>
    <row r="888" ht="15.75" customHeight="1" s="1"/>
    <row r="889" ht="15.75" customHeight="1" s="1"/>
    <row r="890" ht="15.75" customHeight="1" s="1"/>
    <row r="891" ht="15.75" customHeight="1" s="1"/>
    <row r="892" ht="15.75" customHeight="1" s="1"/>
    <row r="893" ht="15.75" customHeight="1" s="1"/>
    <row r="894" ht="15.75" customHeight="1" s="1"/>
    <row r="895" ht="15.75" customHeight="1" s="1"/>
    <row r="896" ht="15.75" customHeight="1" s="1"/>
    <row r="897" ht="15.75" customHeight="1" s="1"/>
    <row r="898" ht="15.75" customHeight="1" s="1"/>
    <row r="899" ht="15.75" customHeight="1" s="1"/>
    <row r="900" ht="15.75" customHeight="1" s="1"/>
    <row r="901" ht="15.75" customHeight="1" s="1"/>
    <row r="902" ht="15.75" customHeight="1" s="1"/>
    <row r="903" ht="15.75" customHeight="1" s="1"/>
    <row r="904" ht="15.75" customHeight="1" s="1"/>
    <row r="905" ht="15.75" customHeight="1" s="1"/>
    <row r="906" ht="15.75" customHeight="1" s="1"/>
    <row r="907" ht="15.75" customHeight="1" s="1"/>
    <row r="908" ht="15.75" customHeight="1" s="1"/>
    <row r="909" ht="15.75" customHeight="1" s="1"/>
    <row r="910" ht="15.75" customHeight="1" s="1"/>
    <row r="911" ht="15.75" customHeight="1" s="1"/>
    <row r="912" ht="15.75" customHeight="1" s="1"/>
    <row r="913" ht="15.75" customHeight="1" s="1"/>
    <row r="914" ht="15.75" customHeight="1" s="1"/>
    <row r="915" ht="15.75" customHeight="1" s="1"/>
    <row r="916" ht="15.75" customHeight="1" s="1"/>
    <row r="917" ht="15.75" customHeight="1" s="1"/>
    <row r="918" ht="15.75" customHeight="1" s="1"/>
    <row r="919" ht="15.75" customHeight="1" s="1"/>
    <row r="920" ht="15.75" customHeight="1" s="1"/>
    <row r="921" ht="15.75" customHeight="1" s="1"/>
    <row r="922" ht="15.75" customHeight="1" s="1"/>
    <row r="923" ht="15.75" customHeight="1" s="1"/>
    <row r="924" ht="15.75" customHeight="1" s="1"/>
    <row r="925" ht="15.75" customHeight="1" s="1"/>
    <row r="926" ht="15.75" customHeight="1" s="1"/>
    <row r="927" ht="15.75" customHeight="1" s="1"/>
    <row r="928" ht="15.75" customHeight="1" s="1"/>
    <row r="929" ht="15.75" customHeight="1" s="1"/>
    <row r="930" ht="15.75" customHeight="1" s="1"/>
    <row r="931" ht="15.75" customHeight="1" s="1"/>
    <row r="932" ht="15.75" customHeight="1" s="1"/>
    <row r="933" ht="15.75" customHeight="1" s="1"/>
    <row r="934" ht="15.75" customHeight="1" s="1"/>
    <row r="935" ht="15.75" customHeight="1" s="1"/>
    <row r="936" ht="15.75" customHeight="1" s="1"/>
    <row r="937" ht="15.75" customHeight="1" s="1"/>
    <row r="938" ht="15.75" customHeight="1" s="1"/>
    <row r="939" ht="15.75" customHeight="1" s="1"/>
    <row r="940" ht="15.75" customHeight="1" s="1"/>
    <row r="941" ht="15.75" customHeight="1" s="1"/>
    <row r="942" ht="15.75" customHeight="1" s="1"/>
    <row r="943" ht="15.75" customHeight="1" s="1"/>
    <row r="944" ht="15.75" customHeight="1" s="1"/>
    <row r="945" ht="15.75" customHeight="1" s="1"/>
    <row r="946" ht="15.75" customHeight="1" s="1"/>
    <row r="947" ht="15.75" customHeight="1" s="1"/>
    <row r="948" ht="15.75" customHeight="1" s="1"/>
    <row r="949" ht="15.75" customHeight="1" s="1"/>
    <row r="950" ht="15.75" customHeight="1" s="1"/>
    <row r="951" ht="15.75" customHeight="1" s="1"/>
    <row r="952" ht="15.75" customHeight="1" s="1"/>
    <row r="953" ht="15.75" customHeight="1" s="1"/>
    <row r="954" ht="15.75" customHeight="1" s="1"/>
    <row r="955" ht="15.75" customHeight="1" s="1"/>
    <row r="956" ht="15.75" customHeight="1" s="1"/>
    <row r="957" ht="15.75" customHeight="1" s="1"/>
    <row r="958" ht="15.75" customHeight="1" s="1"/>
    <row r="959" ht="15.75" customHeight="1" s="1"/>
    <row r="960" ht="15.75" customHeight="1" s="1"/>
    <row r="961" ht="15.75" customHeight="1" s="1"/>
    <row r="962" ht="15.75" customHeight="1" s="1"/>
    <row r="963" ht="15.75" customHeight="1" s="1"/>
    <row r="964" ht="15.75" customHeight="1" s="1"/>
    <row r="965" ht="15.75" customHeight="1" s="1"/>
    <row r="966" ht="15.75" customHeight="1" s="1"/>
    <row r="967" ht="15.75" customHeight="1" s="1"/>
    <row r="968" ht="15.75" customHeight="1" s="1"/>
    <row r="969" ht="15.75" customHeight="1" s="1"/>
    <row r="970" ht="15.75" customHeight="1" s="1"/>
    <row r="971" ht="15.75" customHeight="1" s="1"/>
    <row r="972" ht="15.75" customHeight="1" s="1"/>
    <row r="973" ht="15.75" customHeight="1" s="1"/>
    <row r="974" ht="15.75" customHeight="1" s="1"/>
    <row r="975" ht="15.75" customHeight="1" s="1"/>
    <row r="976" ht="15.75" customHeight="1" s="1"/>
    <row r="977" ht="15.75" customHeight="1" s="1"/>
    <row r="978" ht="15.75" customHeight="1" s="1"/>
    <row r="979" ht="15.75" customHeight="1" s="1"/>
    <row r="980" ht="15.75" customHeight="1" s="1"/>
    <row r="981" ht="15.75" customHeight="1" s="1"/>
    <row r="982" ht="15.75" customHeight="1" s="1"/>
    <row r="983" ht="15.75" customHeight="1" s="1"/>
    <row r="984" ht="15.75" customHeight="1" s="1"/>
    <row r="985" ht="15.75" customHeight="1" s="1"/>
    <row r="986" ht="15.75" customHeight="1" s="1"/>
    <row r="987" ht="15.75" customHeight="1" s="1"/>
    <row r="988" ht="15.75" customHeight="1" s="1"/>
    <row r="989" ht="15.75" customHeight="1" s="1"/>
    <row r="990" ht="15.75" customHeight="1" s="1"/>
    <row r="991" ht="15.75" customHeight="1" s="1"/>
    <row r="992" ht="15.75" customHeight="1" s="1"/>
    <row r="993" ht="15.75" customHeight="1" s="1"/>
    <row r="994" ht="15.75" customHeight="1" s="1"/>
    <row r="995" ht="15.75" customHeight="1" s="1"/>
    <row r="996" ht="15.75" customHeight="1" s="1"/>
    <row r="997" ht="15.75" customHeight="1" s="1"/>
    <row r="998" ht="15.75" customHeight="1" s="1"/>
    <row r="999" ht="15.75" customHeight="1" s="1"/>
    <row r="1000" ht="15.75" customHeight="1" s="1"/>
    <row r="1001" ht="15.75" customHeight="1" s="1"/>
    <row r="1002" ht="15.75" customHeight="1" s="1"/>
    <row r="1003" ht="15.75" customHeight="1" s="1"/>
    <row r="1004" ht="15.75" customHeight="1" s="1"/>
  </sheetData>
  <mergeCells count="5">
    <mergeCell ref="U8:Y8"/>
    <mergeCell ref="Z8:AA8"/>
    <mergeCell ref="M8:P8"/>
    <mergeCell ref="Q8:T8"/>
    <mergeCell ref="I8:L8"/>
  </mergeCells>
  <conditionalFormatting sqref="B10:B70">
    <cfRule type="expression" priority="2" dxfId="5" stopIfTrue="1">
      <formula>$G10="Cumplido"</formula>
    </cfRule>
    <cfRule type="expression" priority="4" dxfId="4" stopIfTrue="1">
      <formula>$G10="En curso"</formula>
    </cfRule>
    <cfRule type="expression" priority="6" dxfId="3" stopIfTrue="1">
      <formula>$G10="Pendiente"</formula>
    </cfRule>
    <cfRule type="expression" priority="8" dxfId="2" stopIfTrue="1">
      <formula>$G10="Atrasado"</formula>
    </cfRule>
    <cfRule type="expression" priority="10" dxfId="1" stopIfTrue="1">
      <formula>$G10="Bloqueado"</formula>
    </cfRule>
  </conditionalFormatting>
  <conditionalFormatting sqref="I10:AA70">
    <cfRule type="expression" priority="1" dxfId="5" stopIfTrue="1">
      <formula>AND($E10&lt;&gt;"",I$9&lt;=$F10,I$9+6&gt;=$E10,$G10="Cumplido")</formula>
    </cfRule>
    <cfRule type="expression" priority="3" dxfId="4" stopIfTrue="1">
      <formula>AND($E10&lt;&gt;"",I$9&lt;=$F10,I$9+6&gt;=$E10,$G10="En curso")</formula>
    </cfRule>
    <cfRule type="expression" priority="5" dxfId="3" stopIfTrue="1">
      <formula>AND($E10&lt;&gt;"",I$9&lt;=$F10,I$9+6&gt;=$E10,$G10="Pendiente")</formula>
    </cfRule>
    <cfRule type="expression" priority="7" dxfId="2" stopIfTrue="1">
      <formula>AND($E10&lt;&gt;"",I$9&lt;=$F10,I$9+6&gt;=$E10,$G10="Atrasado")</formula>
    </cfRule>
    <cfRule type="expression" priority="9" dxfId="1" stopIfTrue="1">
      <formula>AND($E10&lt;&gt;"",I$9&lt;=$F10,I$9+6&gt;=$E10,$G10="Bloqueado")</formula>
    </cfRule>
  </conditionalFormatting>
  <conditionalFormatting sqref="S10:S70">
    <cfRule type="expression" priority="11" dxfId="0">
      <formula>$G10&lt;&gt;""</formula>
    </cfRule>
  </conditionalFormatting>
  <printOptions horizontalCentered="1"/>
  <pageMargins left="0.4" right="0.4" top="0.75" bottom="0.75" header="0.3" footer="0.3"/>
  <pageSetup orientation="landscape" paperSize="9" scale="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2026-10-20T01:56:55Z</dcterms:created>
  <dcterms:modified xsi:type="dcterms:W3CDTF">2026-10-23T00:22:23Z</dcterms:modified>
  <cp:lastModifiedBy>FRANCISCO ESTEBAN SANDOVAL VALENZUELA</cp:lastModifiedBy>
</cp:coreProperties>
</file>