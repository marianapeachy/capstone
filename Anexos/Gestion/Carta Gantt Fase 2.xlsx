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capstone\Anexos\Gestion\"/>
    </mc:Choice>
  </mc:AlternateContent>
  <xr:revisionPtr revIDLastSave="0" documentId="13_ncr:1_{913D1302-B30E-472F-A254-127B05B1E56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rta Gantt" sheetId="1" r:id="rId1"/>
  </sheets>
  <definedNames>
    <definedName name="_xlnm.Print_Area" localSheetId="0">'Carta Gantt'!$B$1:$AC$62</definedName>
    <definedName name="_xlnm.Print_Titles" localSheetId="0">'Carta Gantt'!$8:$9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G5" i="1"/>
  <c r="F5" i="1"/>
  <c r="E5" i="1"/>
  <c r="D5" i="1"/>
</calcChain>
</file>

<file path=xl/sharedStrings.xml><?xml version="1.0" encoding="utf-8"?>
<sst xmlns="http://schemas.openxmlformats.org/spreadsheetml/2006/main" count="211" uniqueCount="123">
  <si>
    <t>Carta Gantt · ShelfVision AI</t>
  </si>
  <si>
    <t>Walmart Chile · Proyecto de Título APT122 (Duoc UC) · Integrantes: Nicko Cortes, Francisco Sandoval, Mariana Ramirez</t>
  </si>
  <si>
    <t>Corte: 19-10-2026 (informe intermedio), franja roja en la línea de tiempo. Copia extendida de la Carta Gantt de la Iteración 1.</t>
  </si>
  <si>
    <t>Resumen</t>
  </si>
  <si>
    <t>Cumplido</t>
  </si>
  <si>
    <t>En curso</t>
  </si>
  <si>
    <t>Pendiente</t>
  </si>
  <si>
    <t>Atrasado</t>
  </si>
  <si>
    <t>Bloqueado</t>
  </si>
  <si>
    <t>Ago</t>
  </si>
  <si>
    <t>Sep</t>
  </si>
  <si>
    <t>Oct</t>
  </si>
  <si>
    <t>Nov</t>
  </si>
  <si>
    <t>Dic</t>
  </si>
  <si>
    <t>Actividad</t>
  </si>
  <si>
    <t>Responsable</t>
  </si>
  <si>
    <t>Inicio</t>
  </si>
  <si>
    <t>Fin</t>
  </si>
  <si>
    <t>Estado</t>
  </si>
  <si>
    <t>Ítem</t>
  </si>
  <si>
    <t>Observación</t>
  </si>
  <si>
    <t>FASE 1 · ANÁLISIS</t>
  </si>
  <si>
    <t>Creación carta gantt</t>
  </si>
  <si>
    <t>Nicko</t>
  </si>
  <si>
    <t>Recepción del caso</t>
  </si>
  <si>
    <t>Organización del equipo</t>
  </si>
  <si>
    <t>Definición de requerimientos generales de proyecto</t>
  </si>
  <si>
    <t>Francisco</t>
  </si>
  <si>
    <t>Captura de requerimientos funcionales</t>
  </si>
  <si>
    <t>Documento preliminar de requerimientos</t>
  </si>
  <si>
    <t>Análisis de requerimientos</t>
  </si>
  <si>
    <t>Mariana</t>
  </si>
  <si>
    <t>FASE 1 · DISEÑO</t>
  </si>
  <si>
    <t>Diseño de Casos de Uso</t>
  </si>
  <si>
    <t>Mariana, Francisco</t>
  </si>
  <si>
    <t>Diagrama de Casos de Uso</t>
  </si>
  <si>
    <t>Plantillas de Casos de Uso</t>
  </si>
  <si>
    <t>Informe presentación del caso</t>
  </si>
  <si>
    <t>Nicko, Francisco</t>
  </si>
  <si>
    <t>En la original, el fin es anterior al inicio</t>
  </si>
  <si>
    <t>Diagramas de Actividad</t>
  </si>
  <si>
    <t>Diseño de base de datos</t>
  </si>
  <si>
    <t>#28</t>
  </si>
  <si>
    <t>Modelamiento de base de datos</t>
  </si>
  <si>
    <t>Mockups del sistema</t>
  </si>
  <si>
    <t>Creación de Script de base de datos</t>
  </si>
  <si>
    <t>FASE 2 · GESTIÓN Y DATOS</t>
  </si>
  <si>
    <t>Flujo de trabajo en equipo (ramas, PR, PROGRESS.md)</t>
  </si>
  <si>
    <t>Plan 1</t>
  </si>
  <si>
    <t>CI en GitHub Actions y protección de main</t>
  </si>
  <si>
    <t>#13</t>
  </si>
  <si>
    <t>Datasets: descarga reproducible, conversores y licencias</t>
  </si>
  <si>
    <t>Francisco, Mariana</t>
  </si>
  <si>
    <t>#10-#12, #16</t>
  </si>
  <si>
    <t>Plan de pruebas</t>
  </si>
  <si>
    <t>#19</t>
  </si>
  <si>
    <t>FASE 2 · VISIÓN ARTIFICIAL</t>
  </si>
  <si>
    <t>Corrección de imagen (dewarping y CLAHE) y recorte de ROI</t>
  </si>
  <si>
    <t>#1-#3</t>
  </si>
  <si>
    <t>Segmentación automática de góndola y repisas</t>
  </si>
  <si>
    <t>#4, #15</t>
  </si>
  <si>
    <t>F1 de repisas 0.823 (SHARD)</t>
  </si>
  <si>
    <t>Detector YOLO26: integración y entrenamiento</t>
  </si>
  <si>
    <t>#5</t>
  </si>
  <si>
    <t>mAP50 0.950 en test (SKU-110K)</t>
  </si>
  <si>
    <t>Disponibilidad y alerta de quiebre (libre &gt;= 30%)</t>
  </si>
  <si>
    <t>#6</t>
  </si>
  <si>
    <t>Repisas inclinadas (niveles híbridos)</t>
  </si>
  <si>
    <t>#22</t>
  </si>
  <si>
    <t>Pipeline completo, vista anotada y evaluación por lotes (CU07)</t>
  </si>
  <si>
    <t>#8</t>
  </si>
  <si>
    <t>Quiebre por góndola completa (cambio de alcance)</t>
  </si>
  <si>
    <t>#40</t>
  </si>
  <si>
    <t>Verificar el detector fuera de SKU-110K</t>
  </si>
  <si>
    <t>#33</t>
  </si>
  <si>
    <t>Parte (1), Kaggle, dentro de #34</t>
  </si>
  <si>
    <t>Reportes Excel, CSV y PDF</t>
  </si>
  <si>
    <t>#7</t>
  </si>
  <si>
    <t>Fecha propuesta, a confirmar</t>
  </si>
  <si>
    <t>FASE 2 · APLICACIÓN WEB</t>
  </si>
  <si>
    <t>Login, CRUD de usuarios y roles y base de datos (CU00, CU06)</t>
  </si>
  <si>
    <t>Primer demo operativo ante Walmart</t>
  </si>
  <si>
    <t>#29</t>
  </si>
  <si>
    <t>Depende de #28</t>
  </si>
  <si>
    <t>Instalación en el servidor del CITT</t>
  </si>
  <si>
    <t>Por definir</t>
  </si>
  <si>
    <t>#39</t>
  </si>
  <si>
    <t>Faltan las instrucciones del CITT</t>
  </si>
  <si>
    <t>FASE 2 · DOCUMENTACIÓN</t>
  </si>
  <si>
    <t>Registro de requisitos y plazos del curso</t>
  </si>
  <si>
    <t>#23, #25</t>
  </si>
  <si>
    <t>Casos de uso y diagramas alineados con Walmart</t>
  </si>
  <si>
    <t>#30</t>
  </si>
  <si>
    <t>Plan de mejoras de la Fase 1</t>
  </si>
  <si>
    <t>#26</t>
  </si>
  <si>
    <t>Plazo 2026-10-09</t>
  </si>
  <si>
    <t>Informe intermedio: estado de avance y conclusiones</t>
  </si>
  <si>
    <t>#27</t>
  </si>
  <si>
    <t>Antes de Nicko; Francisco lo arma en Word</t>
  </si>
  <si>
    <t>Análisis de resultados: 10 mejores y 10 peores casos</t>
  </si>
  <si>
    <t>#34</t>
  </si>
  <si>
    <t>README completo</t>
  </si>
  <si>
    <t>#35</t>
  </si>
  <si>
    <t>Video de demostración (5 a 10 min)</t>
  </si>
  <si>
    <t>#36</t>
  </si>
  <si>
    <t>Evidencias de avance: diario 2.1 y guía 2.4</t>
  </si>
  <si>
    <t>#37</t>
  </si>
  <si>
    <t>Plazo 2026-10-26. Fecha propuesta</t>
  </si>
  <si>
    <t>HITOS DEL CURSO</t>
  </si>
  <si>
    <t>Informe intermedio y video</t>
  </si>
  <si>
    <t>Equipo</t>
  </si>
  <si>
    <t>Entrega 2026-10-21</t>
  </si>
  <si>
    <t>Feria de informática</t>
  </si>
  <si>
    <t>#38</t>
  </si>
  <si>
    <t>Día y hora por informar</t>
  </si>
  <si>
    <t>Evaluación 2 (Avance): 50% de los C.U y demo del Sprint 1</t>
  </si>
  <si>
    <t>Día exacto por confirmar</t>
  </si>
  <si>
    <t>Entrega final de la Fase 2</t>
  </si>
  <si>
    <t>Semana 15, por confirmar</t>
  </si>
  <si>
    <t>FASE 3</t>
  </si>
  <si>
    <t>Ajustes finales, manuales y exposición ante la Comisión</t>
  </si>
  <si>
    <t>Fechas por definir</t>
  </si>
  <si>
    <t>Hecho en el PR #35 (app web Django + SQLite, 2026-10-18 a 2026-10-19).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</si>
</sst>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5" formatCode="dd/mm"/>
  </numFmts>
  <fonts count="12" x14ac:knownFonts="1">
    <font>
      <sz val="10"/>
      <color rgb="FF000000"/>
      <name val="Arial"/>
      <scheme val="minor"/>
    </font>
    <font>
      <b/>
      <sz val="18"/>
      <color rgb="FF0B0B0B"/>
      <name val="Arial"/>
    </font>
    <font>
      <sz val="10"/>
      <color rgb="FF52514E"/>
      <name val="Arial"/>
    </font>
    <font>
      <i/>
      <sz val="9"/>
      <color rgb="FF898781"/>
      <name val="Arial"/>
    </font>
    <font>
      <b/>
      <sz val="9"/>
      <color rgb="FF52514E"/>
      <name val="Arial"/>
    </font>
    <font>
      <sz val="10"/>
      <color rgb="FF0B0B0B"/>
      <name val="Arial"/>
    </font>
    <font>
      <sz val="9"/>
      <color rgb="FF898781"/>
      <name val="Arial"/>
    </font>
    <font>
      <sz val="9"/>
      <color rgb="FF52514E"/>
      <name val="Arial"/>
    </font>
    <font>
      <b/>
      <sz val="16"/>
      <color rgb="FF0B0B0B"/>
      <name val="Arial"/>
    </font>
    <font>
      <sz val="8"/>
      <color rgb="FF898781"/>
      <name val="Arial"/>
    </font>
    <font>
      <b/>
      <sz val="9"/>
      <color rgb="FF0B0B0B"/>
      <name val="Arial"/>
    </font>
    <font>
      <b/>
      <sz val="8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 applyAlignment="1"/>
    <xf numFmtId="0" fontId="7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164" fontId="11" fillId="3" borderId="9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 vertical="center" inden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65" fontId="2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/>
    <xf numFmtId="0" fontId="7" fillId="0" borderId="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left"/>
    </xf>
    <xf numFmtId="0" fontId="0" fillId="0" borderId="11" xfId="0" applyBorder="1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A1000"/>
  <sheetViews>
    <sheetView showGridLines="0" tabSelected="1" topLeftCell="A3" zoomScale="90" zoomScaleNormal="85" workbookViewId="0">
      <pane xSplit="8" ySplit="9" topLeftCell="I10" activePane="bottomRight" state="frozen"/>
      <selection pane="topRight"/>
      <selection pane="bottomLeft"/>
      <selection pane="bottomRight" activeCell="AM29" sqref="AM29"/>
    </sheetView>
  </sheetViews>
  <sheetFormatPr baseColWidth="10" defaultColWidth="12.5703125" defaultRowHeight="15" customHeight="1" x14ac:dyDescent="0.2"/>
  <cols>
    <col min="1" max="1" width="2" style="1" customWidth="1"/>
    <col min="2" max="2" width="1.5703125" style="1" customWidth="1"/>
    <col min="3" max="3" width="58" style="1" customWidth="1"/>
    <col min="4" max="4" width="21" style="1" customWidth="1"/>
    <col min="5" max="6" width="8" style="1" customWidth="1"/>
    <col min="7" max="7" width="12.42578125" style="1" customWidth="1"/>
    <col min="8" max="8" width="11" style="1" customWidth="1"/>
    <col min="9" max="27" width="3.42578125" style="1" customWidth="1"/>
    <col min="28" max="28" width="2" style="1" customWidth="1"/>
    <col min="29" max="29" width="50" style="1" customWidth="1"/>
    <col min="30" max="53" width="12.42578125" style="1" customWidth="1"/>
  </cols>
  <sheetData>
    <row r="1" spans="2:29" ht="30" customHeight="1" x14ac:dyDescent="0.35">
      <c r="C1" s="2" t="s">
        <v>0</v>
      </c>
    </row>
    <row r="2" spans="2:29" ht="15.75" customHeight="1" x14ac:dyDescent="0.2">
      <c r="C2" s="3" t="s">
        <v>1</v>
      </c>
    </row>
    <row r="3" spans="2:29" ht="15.75" customHeight="1" x14ac:dyDescent="0.2">
      <c r="C3" s="4" t="s">
        <v>2</v>
      </c>
    </row>
    <row r="4" spans="2:29" ht="15.75" customHeight="1" x14ac:dyDescent="0.2"/>
    <row r="5" spans="2:29" ht="26.1" customHeight="1" x14ac:dyDescent="0.2">
      <c r="D5" s="5">
        <f>COUNTIF($G$10:$G$62,"Cumplido")</f>
        <v>31</v>
      </c>
      <c r="E5" s="6">
        <f>COUNTIF($G$10:$G$62,"En curso")</f>
        <v>4</v>
      </c>
      <c r="F5" s="7">
        <f>COUNTIF($G$10:$G$62,"Pendiente")</f>
        <v>8</v>
      </c>
      <c r="G5" s="8">
        <f>COUNTIF($G$10:$G$62,"Atrasado")</f>
        <v>1</v>
      </c>
      <c r="H5" s="9">
        <f>COUNTIF($G$10:$G$62,"Bloqueado")</f>
        <v>1</v>
      </c>
    </row>
    <row r="6" spans="2:29" ht="15.75" customHeight="1" x14ac:dyDescent="0.2">
      <c r="C6" s="10" t="s">
        <v>3</v>
      </c>
      <c r="D6" s="11" t="s">
        <v>4</v>
      </c>
      <c r="E6" s="11" t="s">
        <v>5</v>
      </c>
      <c r="F6" s="11" t="s">
        <v>6</v>
      </c>
      <c r="G6" s="11" t="s">
        <v>7</v>
      </c>
      <c r="H6" s="11" t="s">
        <v>8</v>
      </c>
    </row>
    <row r="7" spans="2:29" ht="15.75" customHeight="1" x14ac:dyDescent="0.2"/>
    <row r="8" spans="2:29" ht="15.75" customHeight="1" x14ac:dyDescent="0.2">
      <c r="I8" s="24" t="s">
        <v>9</v>
      </c>
      <c r="J8" s="25"/>
      <c r="K8" s="25"/>
      <c r="L8" s="25"/>
      <c r="M8" s="24" t="s">
        <v>10</v>
      </c>
      <c r="N8" s="25"/>
      <c r="O8" s="25"/>
      <c r="P8" s="25"/>
      <c r="Q8" s="24" t="s">
        <v>11</v>
      </c>
      <c r="R8" s="25"/>
      <c r="S8" s="25"/>
      <c r="T8" s="25"/>
      <c r="U8" s="24" t="s">
        <v>12</v>
      </c>
      <c r="V8" s="25"/>
      <c r="W8" s="25"/>
      <c r="X8" s="25"/>
      <c r="Y8" s="25"/>
      <c r="Z8" s="24" t="s">
        <v>13</v>
      </c>
      <c r="AA8" s="25"/>
    </row>
    <row r="9" spans="2:29" ht="18" customHeight="1" x14ac:dyDescent="0.2">
      <c r="C9" s="12" t="s">
        <v>14</v>
      </c>
      <c r="D9" s="12" t="s">
        <v>15</v>
      </c>
      <c r="E9" s="13" t="s">
        <v>16</v>
      </c>
      <c r="F9" s="13" t="s">
        <v>17</v>
      </c>
      <c r="G9" s="12" t="s">
        <v>18</v>
      </c>
      <c r="H9" s="13" t="s">
        <v>19</v>
      </c>
      <c r="I9" s="14">
        <v>46244</v>
      </c>
      <c r="J9" s="14">
        <v>46251</v>
      </c>
      <c r="K9" s="14">
        <v>46258</v>
      </c>
      <c r="L9" s="14">
        <v>46265</v>
      </c>
      <c r="M9" s="14">
        <v>46272</v>
      </c>
      <c r="N9" s="14">
        <v>46279</v>
      </c>
      <c r="O9" s="14">
        <v>46286</v>
      </c>
      <c r="P9" s="14">
        <v>46293</v>
      </c>
      <c r="Q9" s="14">
        <v>46300</v>
      </c>
      <c r="R9" s="14">
        <v>46307</v>
      </c>
      <c r="S9" s="15">
        <v>46314</v>
      </c>
      <c r="T9" s="14">
        <v>46321</v>
      </c>
      <c r="U9" s="14">
        <v>46328</v>
      </c>
      <c r="V9" s="14">
        <v>46335</v>
      </c>
      <c r="W9" s="14">
        <v>46342</v>
      </c>
      <c r="X9" s="14">
        <v>46349</v>
      </c>
      <c r="Y9" s="14">
        <v>46356</v>
      </c>
      <c r="Z9" s="14">
        <v>46363</v>
      </c>
      <c r="AA9" s="14">
        <v>46370</v>
      </c>
      <c r="AC9" s="12" t="s">
        <v>20</v>
      </c>
    </row>
    <row r="10" spans="2:29" ht="20.100000000000001" customHeight="1" x14ac:dyDescent="0.2">
      <c r="B10" s="16"/>
      <c r="C10" s="17" t="s">
        <v>21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2:29" ht="20.100000000000001" customHeight="1" x14ac:dyDescent="0.2">
      <c r="B11" s="18"/>
      <c r="C11" s="19" t="s">
        <v>22</v>
      </c>
      <c r="D11" s="19" t="s">
        <v>23</v>
      </c>
      <c r="E11" s="20">
        <v>46249</v>
      </c>
      <c r="F11" s="20">
        <v>46250</v>
      </c>
      <c r="G11" s="19" t="s">
        <v>4</v>
      </c>
      <c r="H11" s="21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C11" s="23"/>
    </row>
    <row r="12" spans="2:29" ht="20.100000000000001" customHeight="1" x14ac:dyDescent="0.2">
      <c r="B12" s="18"/>
      <c r="C12" s="19" t="s">
        <v>24</v>
      </c>
      <c r="D12" s="19" t="s">
        <v>23</v>
      </c>
      <c r="E12" s="20">
        <v>46250</v>
      </c>
      <c r="F12" s="20">
        <v>46252</v>
      </c>
      <c r="G12" s="19" t="s">
        <v>4</v>
      </c>
      <c r="H12" s="21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C12" s="23"/>
    </row>
    <row r="13" spans="2:29" ht="20.100000000000001" customHeight="1" x14ac:dyDescent="0.2">
      <c r="B13" s="18"/>
      <c r="C13" s="19" t="s">
        <v>25</v>
      </c>
      <c r="D13" s="19" t="s">
        <v>23</v>
      </c>
      <c r="E13" s="20">
        <v>46249</v>
      </c>
      <c r="F13" s="20">
        <v>46251</v>
      </c>
      <c r="G13" s="19" t="s">
        <v>4</v>
      </c>
      <c r="H13" s="21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C13" s="23"/>
    </row>
    <row r="14" spans="2:29" ht="20.100000000000001" customHeight="1" x14ac:dyDescent="0.2">
      <c r="B14" s="18"/>
      <c r="C14" s="19" t="s">
        <v>26</v>
      </c>
      <c r="D14" s="19" t="s">
        <v>27</v>
      </c>
      <c r="E14" s="20">
        <v>46251</v>
      </c>
      <c r="F14" s="20">
        <v>46253</v>
      </c>
      <c r="G14" s="19" t="s">
        <v>4</v>
      </c>
      <c r="H14" s="21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C14" s="23"/>
    </row>
    <row r="15" spans="2:29" ht="20.100000000000001" customHeight="1" x14ac:dyDescent="0.2">
      <c r="B15" s="18"/>
      <c r="C15" s="19" t="s">
        <v>28</v>
      </c>
      <c r="D15" s="19" t="s">
        <v>27</v>
      </c>
      <c r="E15" s="20">
        <v>46252</v>
      </c>
      <c r="F15" s="20">
        <v>46256</v>
      </c>
      <c r="G15" s="19" t="s">
        <v>4</v>
      </c>
      <c r="H15" s="21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3"/>
    </row>
    <row r="16" spans="2:29" ht="20.100000000000001" customHeight="1" x14ac:dyDescent="0.2">
      <c r="B16" s="18"/>
      <c r="C16" s="19" t="s">
        <v>29</v>
      </c>
      <c r="D16" s="19" t="s">
        <v>27</v>
      </c>
      <c r="E16" s="20">
        <v>46254</v>
      </c>
      <c r="F16" s="20">
        <v>46258</v>
      </c>
      <c r="G16" s="19" t="s">
        <v>4</v>
      </c>
      <c r="H16" s="21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C16" s="23"/>
    </row>
    <row r="17" spans="2:29" ht="20.100000000000001" customHeight="1" x14ac:dyDescent="0.2">
      <c r="B17" s="18"/>
      <c r="C17" s="19" t="s">
        <v>30</v>
      </c>
      <c r="D17" s="19" t="s">
        <v>31</v>
      </c>
      <c r="E17" s="20">
        <v>46256</v>
      </c>
      <c r="F17" s="20">
        <v>46259</v>
      </c>
      <c r="G17" s="19" t="s">
        <v>4</v>
      </c>
      <c r="H17" s="21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C17" s="23"/>
    </row>
    <row r="18" spans="2:29" ht="20.100000000000001" customHeight="1" x14ac:dyDescent="0.2">
      <c r="B18" s="16"/>
      <c r="C18" s="17" t="s">
        <v>32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</row>
    <row r="19" spans="2:29" ht="20.100000000000001" customHeight="1" x14ac:dyDescent="0.2">
      <c r="B19" s="18"/>
      <c r="C19" s="19" t="s">
        <v>33</v>
      </c>
      <c r="D19" s="19" t="s">
        <v>34</v>
      </c>
      <c r="E19" s="20">
        <v>46260</v>
      </c>
      <c r="F19" s="20">
        <v>46263</v>
      </c>
      <c r="G19" s="19" t="s">
        <v>4</v>
      </c>
      <c r="H19" s="21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3"/>
    </row>
    <row r="20" spans="2:29" ht="20.100000000000001" customHeight="1" x14ac:dyDescent="0.2">
      <c r="B20" s="18"/>
      <c r="C20" s="19" t="s">
        <v>35</v>
      </c>
      <c r="D20" s="19" t="s">
        <v>34</v>
      </c>
      <c r="E20" s="20">
        <v>46260</v>
      </c>
      <c r="F20" s="20">
        <v>46265</v>
      </c>
      <c r="G20" s="19" t="s">
        <v>4</v>
      </c>
      <c r="H20" s="21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C20" s="23"/>
    </row>
    <row r="21" spans="2:29" ht="20.100000000000001" customHeight="1" x14ac:dyDescent="0.2">
      <c r="B21" s="18"/>
      <c r="C21" s="19" t="s">
        <v>36</v>
      </c>
      <c r="D21" s="19" t="s">
        <v>31</v>
      </c>
      <c r="E21" s="20">
        <v>46262</v>
      </c>
      <c r="F21" s="20">
        <v>46264</v>
      </c>
      <c r="G21" s="19" t="s">
        <v>4</v>
      </c>
      <c r="H21" s="21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C21" s="23"/>
    </row>
    <row r="22" spans="2:29" ht="20.100000000000001" customHeight="1" x14ac:dyDescent="0.2">
      <c r="B22" s="18"/>
      <c r="C22" s="19" t="s">
        <v>37</v>
      </c>
      <c r="D22" s="19" t="s">
        <v>38</v>
      </c>
      <c r="E22" s="20">
        <v>46266</v>
      </c>
      <c r="F22" s="20">
        <v>46265</v>
      </c>
      <c r="G22" s="19" t="s">
        <v>4</v>
      </c>
      <c r="H22" s="21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C22" s="23" t="s">
        <v>39</v>
      </c>
    </row>
    <row r="23" spans="2:29" ht="20.100000000000001" customHeight="1" x14ac:dyDescent="0.2">
      <c r="B23" s="18"/>
      <c r="C23" s="19" t="s">
        <v>40</v>
      </c>
      <c r="D23" s="19" t="s">
        <v>31</v>
      </c>
      <c r="E23" s="20">
        <v>46260</v>
      </c>
      <c r="F23" s="20">
        <v>46269</v>
      </c>
      <c r="G23" s="19" t="s">
        <v>4</v>
      </c>
      <c r="H23" s="21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C23" s="23"/>
    </row>
    <row r="24" spans="2:29" ht="20.100000000000001" customHeight="1" x14ac:dyDescent="0.2">
      <c r="B24" s="18"/>
      <c r="C24" s="19" t="s">
        <v>41</v>
      </c>
      <c r="D24" s="19" t="s">
        <v>27</v>
      </c>
      <c r="E24" s="20">
        <v>46313</v>
      </c>
      <c r="F24" s="20">
        <v>46314</v>
      </c>
      <c r="G24" s="19" t="s">
        <v>4</v>
      </c>
      <c r="H24" s="21" t="s">
        <v>42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C24" s="23" t="s">
        <v>122</v>
      </c>
    </row>
    <row r="25" spans="2:29" ht="20.100000000000001" customHeight="1" x14ac:dyDescent="0.2">
      <c r="B25" s="18"/>
      <c r="C25" s="19" t="s">
        <v>43</v>
      </c>
      <c r="D25" s="19" t="s">
        <v>27</v>
      </c>
      <c r="E25" s="20">
        <v>46313</v>
      </c>
      <c r="F25" s="20">
        <v>46314</v>
      </c>
      <c r="G25" s="19" t="s">
        <v>4</v>
      </c>
      <c r="H25" s="21" t="s">
        <v>42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C25" s="23" t="s">
        <v>122</v>
      </c>
    </row>
    <row r="26" spans="2:29" ht="20.100000000000001" customHeight="1" x14ac:dyDescent="0.2">
      <c r="B26" s="18"/>
      <c r="C26" s="19" t="s">
        <v>44</v>
      </c>
      <c r="D26" s="19" t="s">
        <v>31</v>
      </c>
      <c r="E26" s="20">
        <v>46268</v>
      </c>
      <c r="F26" s="20">
        <v>46274</v>
      </c>
      <c r="G26" s="19" t="s">
        <v>4</v>
      </c>
      <c r="H26" s="21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C26" s="23"/>
    </row>
    <row r="27" spans="2:29" ht="20.100000000000001" customHeight="1" x14ac:dyDescent="0.2">
      <c r="B27" s="18"/>
      <c r="C27" s="19" t="s">
        <v>45</v>
      </c>
      <c r="D27" s="19" t="s">
        <v>27</v>
      </c>
      <c r="E27" s="20">
        <v>46313</v>
      </c>
      <c r="F27" s="20">
        <v>46314</v>
      </c>
      <c r="G27" s="19" t="s">
        <v>4</v>
      </c>
      <c r="H27" s="21" t="s">
        <v>42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C27" s="23" t="s">
        <v>122</v>
      </c>
    </row>
    <row r="28" spans="2:29" ht="20.100000000000001" customHeight="1" x14ac:dyDescent="0.2">
      <c r="B28" s="16"/>
      <c r="C28" s="17" t="s">
        <v>46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</row>
    <row r="29" spans="2:29" ht="20.100000000000001" customHeight="1" x14ac:dyDescent="0.2">
      <c r="B29" s="18"/>
      <c r="C29" s="19" t="s">
        <v>47</v>
      </c>
      <c r="D29" s="19" t="s">
        <v>27</v>
      </c>
      <c r="E29" s="20">
        <v>46292</v>
      </c>
      <c r="F29" s="20">
        <v>46292</v>
      </c>
      <c r="G29" s="19" t="s">
        <v>4</v>
      </c>
      <c r="H29" s="21" t="s">
        <v>48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C29" s="23"/>
    </row>
    <row r="30" spans="2:29" ht="20.100000000000001" customHeight="1" x14ac:dyDescent="0.2">
      <c r="B30" s="18"/>
      <c r="C30" s="19" t="s">
        <v>49</v>
      </c>
      <c r="D30" s="19" t="s">
        <v>31</v>
      </c>
      <c r="E30" s="20">
        <v>46292</v>
      </c>
      <c r="F30" s="20">
        <v>46292</v>
      </c>
      <c r="G30" s="19" t="s">
        <v>4</v>
      </c>
      <c r="H30" s="21" t="s">
        <v>50</v>
      </c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C30" s="23"/>
    </row>
    <row r="31" spans="2:29" ht="20.100000000000001" customHeight="1" x14ac:dyDescent="0.2">
      <c r="B31" s="18"/>
      <c r="C31" s="19" t="s">
        <v>51</v>
      </c>
      <c r="D31" s="19" t="s">
        <v>52</v>
      </c>
      <c r="E31" s="20">
        <v>46292</v>
      </c>
      <c r="F31" s="20">
        <v>46293</v>
      </c>
      <c r="G31" s="19" t="s">
        <v>4</v>
      </c>
      <c r="H31" s="21" t="s">
        <v>53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C31" s="23"/>
    </row>
    <row r="32" spans="2:29" ht="20.100000000000001" customHeight="1" x14ac:dyDescent="0.2">
      <c r="B32" s="18"/>
      <c r="C32" s="19" t="s">
        <v>54</v>
      </c>
      <c r="D32" s="19" t="s">
        <v>27</v>
      </c>
      <c r="E32" s="20">
        <v>46295</v>
      </c>
      <c r="F32" s="20">
        <v>46296</v>
      </c>
      <c r="G32" s="19" t="s">
        <v>4</v>
      </c>
      <c r="H32" s="21" t="s">
        <v>55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C32" s="23"/>
    </row>
    <row r="33" spans="2:29" ht="20.100000000000001" customHeight="1" x14ac:dyDescent="0.2">
      <c r="B33" s="16"/>
      <c r="C33" s="17" t="s">
        <v>56</v>
      </c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</row>
    <row r="34" spans="2:29" ht="20.100000000000001" customHeight="1" x14ac:dyDescent="0.2">
      <c r="B34" s="18"/>
      <c r="C34" s="19" t="s">
        <v>57</v>
      </c>
      <c r="D34" s="19" t="s">
        <v>27</v>
      </c>
      <c r="E34" s="20">
        <v>46292</v>
      </c>
      <c r="F34" s="20">
        <v>46292</v>
      </c>
      <c r="G34" s="19" t="s">
        <v>4</v>
      </c>
      <c r="H34" s="21" t="s">
        <v>58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C34" s="23"/>
    </row>
    <row r="35" spans="2:29" ht="20.100000000000001" customHeight="1" x14ac:dyDescent="0.2">
      <c r="B35" s="18"/>
      <c r="C35" s="19" t="s">
        <v>59</v>
      </c>
      <c r="D35" s="19" t="s">
        <v>27</v>
      </c>
      <c r="E35" s="20">
        <v>46292</v>
      </c>
      <c r="F35" s="20">
        <v>46293</v>
      </c>
      <c r="G35" s="19" t="s">
        <v>4</v>
      </c>
      <c r="H35" s="21" t="s">
        <v>60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C35" s="23" t="s">
        <v>61</v>
      </c>
    </row>
    <row r="36" spans="2:29" ht="20.100000000000001" customHeight="1" x14ac:dyDescent="0.2">
      <c r="B36" s="18"/>
      <c r="C36" s="19" t="s">
        <v>62</v>
      </c>
      <c r="D36" s="19" t="s">
        <v>27</v>
      </c>
      <c r="E36" s="20">
        <v>46294</v>
      </c>
      <c r="F36" s="20">
        <v>46302</v>
      </c>
      <c r="G36" s="19" t="s">
        <v>4</v>
      </c>
      <c r="H36" s="21" t="s">
        <v>63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C36" s="23" t="s">
        <v>64</v>
      </c>
    </row>
    <row r="37" spans="2:29" ht="20.100000000000001" customHeight="1" x14ac:dyDescent="0.2">
      <c r="B37" s="18"/>
      <c r="C37" s="19" t="s">
        <v>65</v>
      </c>
      <c r="D37" s="19" t="s">
        <v>27</v>
      </c>
      <c r="E37" s="20">
        <v>46295</v>
      </c>
      <c r="F37" s="20">
        <v>46295</v>
      </c>
      <c r="G37" s="19" t="s">
        <v>4</v>
      </c>
      <c r="H37" s="21" t="s">
        <v>66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C37" s="23"/>
    </row>
    <row r="38" spans="2:29" ht="20.100000000000001" customHeight="1" x14ac:dyDescent="0.2">
      <c r="B38" s="18"/>
      <c r="C38" s="19" t="s">
        <v>67</v>
      </c>
      <c r="D38" s="19" t="s">
        <v>27</v>
      </c>
      <c r="E38" s="20">
        <v>46296</v>
      </c>
      <c r="F38" s="20">
        <v>46296</v>
      </c>
      <c r="G38" s="19" t="s">
        <v>4</v>
      </c>
      <c r="H38" s="21" t="s">
        <v>68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C38" s="23"/>
    </row>
    <row r="39" spans="2:29" ht="20.100000000000001" customHeight="1" x14ac:dyDescent="0.2">
      <c r="B39" s="18"/>
      <c r="C39" s="19" t="s">
        <v>69</v>
      </c>
      <c r="D39" s="19" t="s">
        <v>27</v>
      </c>
      <c r="E39" s="20">
        <v>46305</v>
      </c>
      <c r="F39" s="20">
        <v>46313</v>
      </c>
      <c r="G39" s="19" t="s">
        <v>4</v>
      </c>
      <c r="H39" s="21" t="s">
        <v>70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C39" s="23"/>
    </row>
    <row r="40" spans="2:29" ht="20.100000000000001" customHeight="1" x14ac:dyDescent="0.2">
      <c r="B40" s="18"/>
      <c r="C40" s="19" t="s">
        <v>71</v>
      </c>
      <c r="D40" s="19" t="s">
        <v>27</v>
      </c>
      <c r="E40" s="20">
        <v>46314</v>
      </c>
      <c r="F40" s="20">
        <v>46314</v>
      </c>
      <c r="G40" s="19" t="s">
        <v>4</v>
      </c>
      <c r="H40" s="21" t="s">
        <v>72</v>
      </c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C40" s="23"/>
    </row>
    <row r="41" spans="2:29" ht="20.100000000000001" customHeight="1" x14ac:dyDescent="0.2">
      <c r="B41" s="18"/>
      <c r="C41" s="19" t="s">
        <v>73</v>
      </c>
      <c r="D41" s="19" t="s">
        <v>27</v>
      </c>
      <c r="E41" s="20">
        <v>46315</v>
      </c>
      <c r="F41" s="20">
        <v>46316</v>
      </c>
      <c r="G41" s="19" t="s">
        <v>5</v>
      </c>
      <c r="H41" s="21" t="s">
        <v>74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C41" s="23" t="s">
        <v>75</v>
      </c>
    </row>
    <row r="42" spans="2:29" ht="20.100000000000001" customHeight="1" x14ac:dyDescent="0.2">
      <c r="B42" s="18"/>
      <c r="C42" s="19" t="s">
        <v>76</v>
      </c>
      <c r="D42" s="19" t="s">
        <v>31</v>
      </c>
      <c r="E42" s="20">
        <v>46315</v>
      </c>
      <c r="F42" s="20">
        <v>46322</v>
      </c>
      <c r="G42" s="19" t="s">
        <v>6</v>
      </c>
      <c r="H42" s="21" t="s">
        <v>77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C42" s="23" t="s">
        <v>78</v>
      </c>
    </row>
    <row r="43" spans="2:29" ht="20.100000000000001" customHeight="1" x14ac:dyDescent="0.2">
      <c r="B43" s="16"/>
      <c r="C43" s="17" t="s">
        <v>79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</row>
    <row r="44" spans="2:29" ht="20.100000000000001" customHeight="1" x14ac:dyDescent="0.2">
      <c r="B44" s="18"/>
      <c r="C44" s="19" t="s">
        <v>80</v>
      </c>
      <c r="D44" s="19" t="s">
        <v>27</v>
      </c>
      <c r="E44" s="20">
        <v>46313</v>
      </c>
      <c r="F44" s="20">
        <v>46314</v>
      </c>
      <c r="G44" s="19" t="s">
        <v>4</v>
      </c>
      <c r="H44" s="21" t="s">
        <v>42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C44" s="23" t="s">
        <v>122</v>
      </c>
    </row>
    <row r="45" spans="2:29" ht="20.100000000000001" customHeight="1" x14ac:dyDescent="0.2">
      <c r="B45" s="18"/>
      <c r="C45" s="19" t="s">
        <v>81</v>
      </c>
      <c r="D45" s="19" t="s">
        <v>23</v>
      </c>
      <c r="E45" s="20">
        <v>46322</v>
      </c>
      <c r="F45" s="20">
        <v>46326</v>
      </c>
      <c r="G45" s="19" t="s">
        <v>6</v>
      </c>
      <c r="H45" s="21" t="s">
        <v>82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C45" s="23" t="s">
        <v>83</v>
      </c>
    </row>
    <row r="46" spans="2:29" ht="20.100000000000001" customHeight="1" x14ac:dyDescent="0.2">
      <c r="B46" s="18"/>
      <c r="C46" s="19" t="s">
        <v>84</v>
      </c>
      <c r="D46" s="19" t="s">
        <v>85</v>
      </c>
      <c r="E46" s="20"/>
      <c r="F46" s="20"/>
      <c r="G46" s="19" t="s">
        <v>8</v>
      </c>
      <c r="H46" s="21" t="s">
        <v>86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C46" s="23" t="s">
        <v>87</v>
      </c>
    </row>
    <row r="47" spans="2:29" ht="20.100000000000001" customHeight="1" x14ac:dyDescent="0.2">
      <c r="B47" s="16"/>
      <c r="C47" s="17" t="s">
        <v>88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 spans="2:29" ht="20.100000000000001" customHeight="1" x14ac:dyDescent="0.2">
      <c r="B48" s="18"/>
      <c r="C48" s="19" t="s">
        <v>89</v>
      </c>
      <c r="D48" s="19" t="s">
        <v>27</v>
      </c>
      <c r="E48" s="20">
        <v>46304</v>
      </c>
      <c r="F48" s="20">
        <v>46305</v>
      </c>
      <c r="G48" s="19" t="s">
        <v>4</v>
      </c>
      <c r="H48" s="21" t="s">
        <v>90</v>
      </c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C48" s="23"/>
    </row>
    <row r="49" spans="2:29" ht="20.100000000000001" customHeight="1" x14ac:dyDescent="0.2">
      <c r="B49" s="18"/>
      <c r="C49" s="19" t="s">
        <v>91</v>
      </c>
      <c r="D49" s="19" t="s">
        <v>27</v>
      </c>
      <c r="E49" s="20">
        <v>46304</v>
      </c>
      <c r="F49" s="20">
        <v>46305</v>
      </c>
      <c r="G49" s="19" t="s">
        <v>4</v>
      </c>
      <c r="H49" s="21" t="s">
        <v>92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C49" s="23"/>
    </row>
    <row r="50" spans="2:29" ht="20.100000000000001" customHeight="1" x14ac:dyDescent="0.2">
      <c r="B50" s="18"/>
      <c r="C50" s="19" t="s">
        <v>93</v>
      </c>
      <c r="D50" s="19" t="s">
        <v>31</v>
      </c>
      <c r="E50" s="20">
        <v>46300</v>
      </c>
      <c r="F50" s="20">
        <v>46304</v>
      </c>
      <c r="G50" s="19" t="s">
        <v>7</v>
      </c>
      <c r="H50" s="21" t="s">
        <v>94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C50" s="23" t="s">
        <v>95</v>
      </c>
    </row>
    <row r="51" spans="2:29" ht="20.100000000000001" customHeight="1" x14ac:dyDescent="0.2">
      <c r="B51" s="18"/>
      <c r="C51" s="19" t="s">
        <v>96</v>
      </c>
      <c r="D51" s="19" t="s">
        <v>27</v>
      </c>
      <c r="E51" s="20">
        <v>46314</v>
      </c>
      <c r="F51" s="20">
        <v>46316</v>
      </c>
      <c r="G51" s="19" t="s">
        <v>5</v>
      </c>
      <c r="H51" s="21" t="s">
        <v>97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C51" s="23" t="s">
        <v>98</v>
      </c>
    </row>
    <row r="52" spans="2:29" ht="20.100000000000001" customHeight="1" x14ac:dyDescent="0.2">
      <c r="B52" s="18"/>
      <c r="C52" s="19" t="s">
        <v>99</v>
      </c>
      <c r="D52" s="19" t="s">
        <v>27</v>
      </c>
      <c r="E52" s="20">
        <v>46315</v>
      </c>
      <c r="F52" s="20">
        <v>46315</v>
      </c>
      <c r="G52" s="19" t="s">
        <v>4</v>
      </c>
      <c r="H52" s="21" t="s">
        <v>100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C52" s="23"/>
    </row>
    <row r="53" spans="2:29" ht="20.100000000000001" customHeight="1" x14ac:dyDescent="0.2">
      <c r="B53" s="18"/>
      <c r="C53" s="19" t="s">
        <v>101</v>
      </c>
      <c r="D53" s="19" t="s">
        <v>27</v>
      </c>
      <c r="E53" s="20">
        <v>46315</v>
      </c>
      <c r="F53" s="20">
        <v>46316</v>
      </c>
      <c r="G53" s="19" t="s">
        <v>5</v>
      </c>
      <c r="H53" s="21" t="s">
        <v>102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C53" s="23"/>
    </row>
    <row r="54" spans="2:29" ht="20.100000000000001" customHeight="1" x14ac:dyDescent="0.2">
      <c r="B54" s="18"/>
      <c r="C54" s="19" t="s">
        <v>103</v>
      </c>
      <c r="D54" s="19" t="s">
        <v>27</v>
      </c>
      <c r="E54" s="20">
        <v>46316</v>
      </c>
      <c r="F54" s="20">
        <v>46316</v>
      </c>
      <c r="G54" s="19" t="s">
        <v>6</v>
      </c>
      <c r="H54" s="21" t="s">
        <v>104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C54" s="23"/>
    </row>
    <row r="55" spans="2:29" ht="20.100000000000001" customHeight="1" x14ac:dyDescent="0.2">
      <c r="B55" s="18"/>
      <c r="C55" s="19" t="s">
        <v>105</v>
      </c>
      <c r="D55" s="19" t="s">
        <v>31</v>
      </c>
      <c r="E55" s="20">
        <v>46317</v>
      </c>
      <c r="F55" s="20">
        <v>46321</v>
      </c>
      <c r="G55" s="19" t="s">
        <v>6</v>
      </c>
      <c r="H55" s="21" t="s">
        <v>106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C55" s="23" t="s">
        <v>107</v>
      </c>
    </row>
    <row r="56" spans="2:29" ht="20.100000000000001" customHeight="1" x14ac:dyDescent="0.2">
      <c r="B56" s="16"/>
      <c r="C56" s="17" t="s">
        <v>108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</row>
    <row r="57" spans="2:29" ht="20.100000000000001" customHeight="1" x14ac:dyDescent="0.2">
      <c r="B57" s="18"/>
      <c r="C57" s="19" t="s">
        <v>109</v>
      </c>
      <c r="D57" s="19" t="s">
        <v>110</v>
      </c>
      <c r="E57" s="20">
        <v>46316</v>
      </c>
      <c r="F57" s="20">
        <v>46316</v>
      </c>
      <c r="G57" s="19" t="s">
        <v>5</v>
      </c>
      <c r="H57" s="21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C57" s="23" t="s">
        <v>111</v>
      </c>
    </row>
    <row r="58" spans="2:29" ht="20.100000000000001" customHeight="1" x14ac:dyDescent="0.2">
      <c r="B58" s="18"/>
      <c r="C58" s="19" t="s">
        <v>112</v>
      </c>
      <c r="D58" s="19" t="s">
        <v>23</v>
      </c>
      <c r="E58" s="20">
        <v>46321</v>
      </c>
      <c r="F58" s="20">
        <v>46325</v>
      </c>
      <c r="G58" s="19" t="s">
        <v>6</v>
      </c>
      <c r="H58" s="21" t="s">
        <v>113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C58" s="23" t="s">
        <v>114</v>
      </c>
    </row>
    <row r="59" spans="2:29" ht="20.100000000000001" customHeight="1" x14ac:dyDescent="0.2">
      <c r="B59" s="18"/>
      <c r="C59" s="19" t="s">
        <v>115</v>
      </c>
      <c r="D59" s="19" t="s">
        <v>110</v>
      </c>
      <c r="E59" s="20">
        <v>46323</v>
      </c>
      <c r="F59" s="20">
        <v>46325</v>
      </c>
      <c r="G59" s="19" t="s">
        <v>6</v>
      </c>
      <c r="H59" s="21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C59" s="23" t="s">
        <v>116</v>
      </c>
    </row>
    <row r="60" spans="2:29" ht="20.100000000000001" customHeight="1" x14ac:dyDescent="0.2">
      <c r="B60" s="18"/>
      <c r="C60" s="19" t="s">
        <v>117</v>
      </c>
      <c r="D60" s="19" t="s">
        <v>110</v>
      </c>
      <c r="E60" s="20">
        <v>46349</v>
      </c>
      <c r="F60" s="20">
        <v>46353</v>
      </c>
      <c r="G60" s="19" t="s">
        <v>6</v>
      </c>
      <c r="H60" s="21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C60" s="23" t="s">
        <v>118</v>
      </c>
    </row>
    <row r="61" spans="2:29" ht="20.100000000000001" customHeight="1" x14ac:dyDescent="0.2">
      <c r="B61" s="16"/>
      <c r="C61" s="17" t="s">
        <v>119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</row>
    <row r="62" spans="2:29" ht="20.100000000000001" customHeight="1" x14ac:dyDescent="0.2">
      <c r="B62" s="18"/>
      <c r="C62" s="19" t="s">
        <v>120</v>
      </c>
      <c r="D62" s="19" t="s">
        <v>110</v>
      </c>
      <c r="E62" s="20">
        <v>46356</v>
      </c>
      <c r="F62" s="20">
        <v>46374</v>
      </c>
      <c r="G62" s="19" t="s">
        <v>6</v>
      </c>
      <c r="H62" s="21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C62" s="23" t="s">
        <v>121</v>
      </c>
    </row>
    <row r="63" spans="2:29" ht="15.75" customHeight="1" x14ac:dyDescent="0.2"/>
    <row r="64" spans="2:2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U8:Y8"/>
    <mergeCell ref="Z8:AA8"/>
    <mergeCell ref="M8:P8"/>
    <mergeCell ref="I8:L8"/>
    <mergeCell ref="Q8:T8"/>
  </mergeCells>
  <conditionalFormatting sqref="B10:B62">
    <cfRule type="expression" dxfId="10" priority="2" stopIfTrue="1">
      <formula>$G10="Cumplido"</formula>
    </cfRule>
    <cfRule type="expression" dxfId="9" priority="4" stopIfTrue="1">
      <formula>$G10="En curso"</formula>
    </cfRule>
    <cfRule type="expression" dxfId="8" priority="6" stopIfTrue="1">
      <formula>$G10="Pendiente"</formula>
    </cfRule>
    <cfRule type="expression" dxfId="7" priority="8" stopIfTrue="1">
      <formula>$G10="Atrasado"</formula>
    </cfRule>
    <cfRule type="expression" dxfId="6" priority="10" stopIfTrue="1">
      <formula>$G10="Bloqueado"</formula>
    </cfRule>
  </conditionalFormatting>
  <conditionalFormatting sqref="I10:AA62">
    <cfRule type="expression" dxfId="5" priority="1" stopIfTrue="1">
      <formula>AND($E10&lt;&gt;"",I$9&lt;=$F10,I$9+6&gt;=$E10,$G10="Cumplido")</formula>
    </cfRule>
    <cfRule type="expression" dxfId="4" priority="3" stopIfTrue="1">
      <formula>AND($E10&lt;&gt;"",I$9&lt;=$F10,I$9+6&gt;=$E10,$G10="En curso")</formula>
    </cfRule>
    <cfRule type="expression" dxfId="3" priority="5" stopIfTrue="1">
      <formula>AND($E10&lt;&gt;"",I$9&lt;=$F10,I$9+6&gt;=$E10,$G10="Pendiente")</formula>
    </cfRule>
    <cfRule type="expression" dxfId="2" priority="7" stopIfTrue="1">
      <formula>AND($E10&lt;&gt;"",I$9&lt;=$F10,I$9+6&gt;=$E10,$G10="Atrasado")</formula>
    </cfRule>
    <cfRule type="expression" dxfId="1" priority="9" stopIfTrue="1">
      <formula>AND($E10&lt;&gt;"",I$9&lt;=$F10,I$9+6&gt;=$E10,$G10="Bloqueado")</formula>
    </cfRule>
  </conditionalFormatting>
  <conditionalFormatting sqref="S10:S62">
    <cfRule type="expression" dxfId="0" priority="11">
      <formula>$G10&lt;&gt;""</formula>
    </cfRule>
  </conditionalFormatting>
  <printOptions horizontalCentered="1"/>
  <pageMargins left="0.4" right="0.4" top="0.75" bottom="0.75" header="0.3" footer="0.3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Carta Gantt</vt:lpstr>
      <vt:lpstr>'Carta Gantt'!Área_de_impresión</vt:lpstr>
      <vt:lpstr>'Carta Gantt'!Títulos_a_imprimir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ESTEBAN SANDOVAL VALENZUELA</cp:lastModifiedBy>
  <dcterms:created xsi:type="dcterms:W3CDTF">2026-10-20T01:56:55Z</dcterms:created>
  <dcterms:modified xsi:type="dcterms:W3CDTF">2026-10-20T04:10:52Z</dcterms:modified>
</cp:coreProperties>
</file>