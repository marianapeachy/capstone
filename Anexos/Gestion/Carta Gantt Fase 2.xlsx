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8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COUNTIF($G$10:$G$68,"Cumplido")</f>
        <v/>
      </c>
      <c r="E5" s="6">
        <f>COUNTIF($G$10:$G$68,"En curso")</f>
        <v/>
      </c>
      <c r="F5" s="7">
        <f>COUNTIF($G$10:$G$68,"Pendiente")</f>
        <v/>
      </c>
      <c r="G5" s="8">
        <f>COUNTIF($G$10:$G$68,"Atrasado")</f>
        <v/>
      </c>
      <c r="H5" s="9">
        <f>COUNTIF($G$10:$G$68,"Bloqueado")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46317</v>
      </c>
      <c r="F47" s="20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8" t="n"/>
      <c r="C61" s="19" t="inlineStr">
        <is>
          <t>Sin coautoría de Claude Code en commits y PR</t>
        </is>
      </c>
      <c r="D61" s="19" t="inlineStr">
        <is>
          <t>Mariana</t>
        </is>
      </c>
      <c r="E61" s="20">
        <v>46317</v>
      </c>
      <c r="F61" s="20">
        <v>46317</v>
      </c>
      <c r="G61" s="19" t="inlineStr">
        <is>
          <t>Cumplido</t>
        </is>
      </c>
      <c r="H61" s="21" t="inlineStr">
        <is>
          <t>#56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attribution vacío en .claude/settings.json; los commits ya publicados no cambian</t>
        </is>
      </c>
    </row>
    <row r="62" ht="20.1" customHeight="1" s="1">
      <c r="B62" s="16" t="n"/>
      <c r="C62" s="17" t="inlineStr">
        <is>
          <t>HITOS DEL CURSO</t>
        </is>
      </c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</row>
    <row r="63" ht="20.1" customHeight="1" s="1">
      <c r="B63" s="18" t="n"/>
      <c r="C63" s="19" t="inlineStr">
        <is>
          <t>Informe intermedio y video</t>
        </is>
      </c>
      <c r="D63" s="19" t="inlineStr">
        <is>
          <t>Equipo</t>
        </is>
      </c>
      <c r="E63" s="20" t="n">
        <v>46316</v>
      </c>
      <c r="F63" s="20" t="n">
        <v>46316</v>
      </c>
      <c r="G63" s="19" t="inlineStr">
        <is>
          <t>En curso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Entrega 2026-10-21</t>
        </is>
      </c>
    </row>
    <row r="64" ht="20.1" customHeight="1" s="1">
      <c r="B64" s="18" t="n"/>
      <c r="C64" s="19" t="inlineStr">
        <is>
          <t>Feria de informática</t>
        </is>
      </c>
      <c r="D64" s="19" t="inlineStr">
        <is>
          <t>Nicko</t>
        </is>
      </c>
      <c r="E64" s="20" t="n">
        <v>46321</v>
      </c>
      <c r="F64" s="20" t="n">
        <v>46325</v>
      </c>
      <c r="G64" s="19" t="inlineStr">
        <is>
          <t>Pendiente</t>
        </is>
      </c>
      <c r="H64" s="21" t="inlineStr">
        <is>
          <t>#38</t>
        </is>
      </c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y hora por informar</t>
        </is>
      </c>
    </row>
    <row r="65" ht="20.1" customHeight="1" s="1">
      <c r="B65" s="18" t="n"/>
      <c r="C65" s="19" t="inlineStr">
        <is>
          <t>Evaluación 2 (Avance): 50% de los C.U y demo del Sprint 1</t>
        </is>
      </c>
      <c r="D65" s="19" t="inlineStr">
        <is>
          <t>Equipo</t>
        </is>
      </c>
      <c r="E65" s="20" t="n">
        <v>46323</v>
      </c>
      <c r="F65" s="20" t="n">
        <v>46325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exacto por confirmar</t>
        </is>
      </c>
    </row>
    <row r="66" ht="20.1" customHeight="1" s="1">
      <c r="B66" s="18" t="n"/>
      <c r="C66" s="19" t="inlineStr">
        <is>
          <t>Entrega final de la Fase 2</t>
        </is>
      </c>
      <c r="D66" s="19" t="inlineStr">
        <is>
          <t>Equipo</t>
        </is>
      </c>
      <c r="E66" s="20" t="n">
        <v>46349</v>
      </c>
      <c r="F66" s="20" t="n">
        <v>46353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Semana 15, por confirmar</t>
        </is>
      </c>
    </row>
    <row r="67" ht="20.1" customHeight="1" s="1">
      <c r="B67" s="16" t="n"/>
      <c r="C67" s="17" t="inlineStr">
        <is>
          <t>FASE 3</t>
        </is>
      </c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</row>
    <row r="68" ht="20.1" customHeight="1" s="1">
      <c r="B68" s="18" t="n"/>
      <c r="C68" s="19" t="inlineStr">
        <is>
          <t>Ajustes finales, manuales y exposición ante la Comisión</t>
        </is>
      </c>
      <c r="D68" s="19" t="inlineStr">
        <is>
          <t>Equipo</t>
        </is>
      </c>
      <c r="E68" s="20" t="n">
        <v>46356</v>
      </c>
      <c r="F68" s="20" t="n">
        <v>46374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C68" s="23" t="inlineStr">
        <is>
          <t>Fechas por definir</t>
        </is>
      </c>
    </row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</sheetData>
  <mergeCells count="5">
    <mergeCell ref="U8:Y8"/>
    <mergeCell ref="Z8:AA8"/>
    <mergeCell ref="M8:P8"/>
    <mergeCell ref="Q8:T8"/>
    <mergeCell ref="I8:L8"/>
  </mergeCells>
  <conditionalFormatting sqref="B10:B68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8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8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