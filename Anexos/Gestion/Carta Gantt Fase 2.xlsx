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7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COUNTIF($G$10:$G$67,"Cumplido")</f>
        <v/>
      </c>
      <c r="E5" s="6">
        <f>COUNTIF($G$10:$G$67,"En curso")</f>
        <v/>
      </c>
      <c r="F5" s="7">
        <f>COUNTIF($G$10:$G$67,"Pendiente")</f>
        <v/>
      </c>
      <c r="G5" s="8">
        <f>COUNTIF($G$10:$G$67,"Atrasado")</f>
        <v/>
      </c>
      <c r="H5" s="9">
        <f>COUNTIF($G$10:$G$67,"Bloqueado")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Pendiente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#49 a #51; Mariana: #52 y #53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>
        <v>46323</v>
      </c>
      <c r="F47" s="20">
        <v>46325</v>
      </c>
      <c r="G47" s="19" t="inlineStr">
        <is>
          <t>Pendiente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Fechas propuestas, a confirmar</t>
        </is>
      </c>
    </row>
    <row r="48" ht="20.1" customHeight="1" s="1">
      <c r="B48" s="18" t="n"/>
      <c r="C48" s="19" t="inlineStr">
        <is>
          <t>Limpieza de código y CI (#54)</t>
        </is>
      </c>
      <c r="D48" s="19" t="inlineStr">
        <is>
          <t>Nicko</t>
        </is>
      </c>
      <c r="E48" s="20" t="n">
        <v>46323</v>
      </c>
      <c r="F48" s="20" t="n">
        <v>46325</v>
      </c>
      <c r="G48" s="19" t="inlineStr">
        <is>
          <t>Pendiente</t>
        </is>
      </c>
      <c r="H48" s="21" t="inlineStr">
        <is>
          <t>#54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Primer demo operativo ante Walmart</t>
        </is>
      </c>
      <c r="D49" s="19" t="inlineStr">
        <is>
          <t>Nicko</t>
        </is>
      </c>
      <c r="E49" s="20" t="n">
        <v>46322</v>
      </c>
      <c r="F49" s="20" t="n">
        <v>46326</v>
      </c>
      <c r="G49" s="19" t="inlineStr">
        <is>
          <t>Pendiente</t>
        </is>
      </c>
      <c r="H49" s="21" t="inlineStr">
        <is>
          <t>#29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inlineStr">
        <is>
          <t>Depende de #28</t>
        </is>
      </c>
    </row>
    <row r="50" ht="20.1" customHeight="1" s="1">
      <c r="B50" s="18" t="n"/>
      <c r="C50" s="19" t="inlineStr">
        <is>
          <t>Instalación en el servidor del CITT</t>
        </is>
      </c>
      <c r="D50" s="19" t="inlineStr">
        <is>
          <t>Por definir</t>
        </is>
      </c>
      <c r="E50" s="20" t="n"/>
      <c r="F50" s="20" t="n"/>
      <c r="G50" s="19" t="inlineStr">
        <is>
          <t>Bloqueado</t>
        </is>
      </c>
      <c r="H50" s="21" t="inlineStr">
        <is>
          <t>#39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Faltan las instrucciones del CITT</t>
        </is>
      </c>
    </row>
    <row r="51" ht="20.1" customHeight="1" s="1">
      <c r="B51" s="16" t="n"/>
      <c r="C51" s="17" t="inlineStr">
        <is>
          <t>FASE 2 · DOCUMENTACIÓN</t>
        </is>
      </c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</row>
    <row r="52" ht="20.1" customHeight="1" s="1">
      <c r="B52" s="18" t="n"/>
      <c r="C52" s="19" t="inlineStr">
        <is>
          <t>Registro de requisitos y plazos del curso</t>
        </is>
      </c>
      <c r="D52" s="19" t="inlineStr">
        <is>
          <t>Francisco</t>
        </is>
      </c>
      <c r="E52" s="20" t="n">
        <v>46304</v>
      </c>
      <c r="F52" s="20" t="n">
        <v>46305</v>
      </c>
      <c r="G52" s="19" t="inlineStr">
        <is>
          <t>Cumplido</t>
        </is>
      </c>
      <c r="H52" s="21" t="inlineStr">
        <is>
          <t>#23, #25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Casos de uso y diagramas alineados con Walmart</t>
        </is>
      </c>
      <c r="D53" s="19" t="inlineStr">
        <is>
          <t>Francisco</t>
        </is>
      </c>
      <c r="E53" s="20" t="n">
        <v>46304</v>
      </c>
      <c r="F53" s="20" t="n">
        <v>46305</v>
      </c>
      <c r="G53" s="19" t="inlineStr">
        <is>
          <t>Cumplido</t>
        </is>
      </c>
      <c r="H53" s="21" t="inlineStr">
        <is>
          <t>#30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Plan de mejoras de la Fase 1</t>
        </is>
      </c>
      <c r="D54" s="19" t="inlineStr">
        <is>
          <t>Mariana</t>
        </is>
      </c>
      <c r="E54" s="20" t="n">
        <v>46315</v>
      </c>
      <c r="F54" s="20" t="n">
        <v>46315</v>
      </c>
      <c r="G54" s="19" t="inlineStr">
        <is>
          <t>Cumplido</t>
        </is>
      </c>
      <c r="H54" s="21" t="inlineStr">
        <is>
          <t>#26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inlineStr">
        <is>
          <t>Hecho el 2026-10-20, con atraso (plazo 2026-10-09). docs/plan-de-mejoras.md</t>
        </is>
      </c>
    </row>
    <row r="55" ht="20.1" customHeight="1" s="1">
      <c r="B55" s="18" t="n"/>
      <c r="C55" s="19" t="inlineStr">
        <is>
          <t>Informe intermedio: estado de avance y conclusiones</t>
        </is>
      </c>
      <c r="D55" s="19" t="inlineStr">
        <is>
          <t>Francisco</t>
        </is>
      </c>
      <c r="E55" s="20" t="n">
        <v>46314</v>
      </c>
      <c r="F55" s="20" t="n">
        <v>46316</v>
      </c>
      <c r="G55" s="19" t="inlineStr">
        <is>
          <t>En curso</t>
        </is>
      </c>
      <c r="H55" s="21" t="inlineStr">
        <is>
          <t>#27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Antes de Nicko; Francisco lo arma en Word</t>
        </is>
      </c>
    </row>
    <row r="56" ht="20.1" customHeight="1" s="1">
      <c r="B56" s="18" t="n"/>
      <c r="C56" s="19" t="inlineStr">
        <is>
          <t>Análisis de resultados: 10 mejores y 10 peores casos</t>
        </is>
      </c>
      <c r="D56" s="19" t="inlineStr">
        <is>
          <t>Francisco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#34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n"/>
    </row>
    <row r="57" ht="20.1" customHeight="1" s="1">
      <c r="B57" s="18" t="n"/>
      <c r="C57" s="19" t="inlineStr">
        <is>
          <t>README completo</t>
        </is>
      </c>
      <c r="D57" s="19" t="inlineStr">
        <is>
          <t>Francisco</t>
        </is>
      </c>
      <c r="E57" s="20" t="n">
        <v>46315</v>
      </c>
      <c r="F57" s="20" t="n">
        <v>46315</v>
      </c>
      <c r="G57" s="19" t="inlineStr">
        <is>
          <t>Cumplido</t>
        </is>
      </c>
      <c r="H57" s="21" t="inlineStr">
        <is>
          <t>#35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Video de demostración (5 a 10 min)</t>
        </is>
      </c>
      <c r="D58" s="19" t="inlineStr">
        <is>
          <t>Nicko</t>
        </is>
      </c>
      <c r="E58" s="20" t="n">
        <v>46316</v>
      </c>
      <c r="F58" s="20" t="n">
        <v>46316</v>
      </c>
      <c r="G58" s="19" t="inlineStr">
        <is>
          <t>Pendiente</t>
        </is>
      </c>
      <c r="H58" s="21" t="inlineStr">
        <is>
          <t>#36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Evidencias de avance: diario 2.1 y guía 2.4</t>
        </is>
      </c>
      <c r="D59" s="19" t="inlineStr">
        <is>
          <t>Mariana</t>
        </is>
      </c>
      <c r="E59" s="20" t="n">
        <v>46315</v>
      </c>
      <c r="F59" s="20" t="n">
        <v>46321</v>
      </c>
      <c r="G59" s="19" t="inlineStr">
        <is>
          <t>En curso</t>
        </is>
      </c>
      <c r="H59" s="21" t="inlineStr">
        <is>
          <t>#37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Plazo 2026-10-26. Guía 2.4 al 21-10; diario 2.1 y autoevaluación 2.2 de Mariana el 22-10 (Fase 2/). Faltan los diarios de Francisco y Nicko</t>
        </is>
      </c>
    </row>
    <row r="60" ht="20.1" customHeight="1" s="1">
      <c r="B60" s="18" t="n"/>
      <c r="C60" s="19" t="inlineStr">
        <is>
          <t>Rehacer plantillas de C.U y diagramas según la app Django</t>
        </is>
      </c>
      <c r="D60" s="19" t="inlineStr">
        <is>
          <t>Mariana</t>
        </is>
      </c>
      <c r="E60" s="20" t="n">
        <v>46316</v>
      </c>
      <c r="F60" s="20" t="n">
        <v>46316</v>
      </c>
      <c r="G60" s="19" t="inlineStr">
        <is>
          <t>Cumplido</t>
        </is>
      </c>
      <c r="H60" s="21" t="inlineStr">
        <is>
          <t>#42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Hecho el 2026-10-21: plantillas, fuentes Mermaid y PNG (CU00-CU06 y arquitectura). docs/cambios-cu.md</t>
        </is>
      </c>
    </row>
    <row r="61" ht="20.1" customHeight="1" s="1">
      <c r="B61" s="16" t="n"/>
      <c r="C61" s="17" t="inlineStr">
        <is>
          <t>HITOS DEL CURSO</t>
        </is>
      </c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</row>
    <row r="62" ht="20.1" customHeight="1" s="1">
      <c r="B62" s="18" t="n"/>
      <c r="C62" s="19" t="inlineStr">
        <is>
          <t>Informe intermedio y video</t>
        </is>
      </c>
      <c r="D62" s="19" t="inlineStr">
        <is>
          <t>Equipo</t>
        </is>
      </c>
      <c r="E62" s="20" t="n">
        <v>46316</v>
      </c>
      <c r="F62" s="20" t="n">
        <v>46316</v>
      </c>
      <c r="G62" s="19" t="inlineStr">
        <is>
          <t>En curso</t>
        </is>
      </c>
      <c r="H62" s="21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Entrega 2026-10-21</t>
        </is>
      </c>
    </row>
    <row r="63" ht="20.1" customHeight="1" s="1">
      <c r="B63" s="18" t="n"/>
      <c r="C63" s="19" t="inlineStr">
        <is>
          <t>Feria de informática</t>
        </is>
      </c>
      <c r="D63" s="19" t="inlineStr">
        <is>
          <t>Nicko</t>
        </is>
      </c>
      <c r="E63" s="20" t="n">
        <v>46321</v>
      </c>
      <c r="F63" s="20" t="n">
        <v>46325</v>
      </c>
      <c r="G63" s="19" t="inlineStr">
        <is>
          <t>Pendiente</t>
        </is>
      </c>
      <c r="H63" s="21" t="inlineStr">
        <is>
          <t>#38</t>
        </is>
      </c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Día y hora por informar</t>
        </is>
      </c>
    </row>
    <row r="64" ht="20.1" customHeight="1" s="1">
      <c r="B64" s="18" t="n"/>
      <c r="C64" s="19" t="inlineStr">
        <is>
          <t>Evaluación 2 (Avance): 50% de los C.U y demo del Sprint 1</t>
        </is>
      </c>
      <c r="D64" s="19" t="inlineStr">
        <is>
          <t>Equipo</t>
        </is>
      </c>
      <c r="E64" s="20" t="n">
        <v>46323</v>
      </c>
      <c r="F64" s="20" t="n">
        <v>46325</v>
      </c>
      <c r="G64" s="19" t="inlineStr">
        <is>
          <t>Pendiente</t>
        </is>
      </c>
      <c r="H64" s="21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C64" s="23" t="inlineStr">
        <is>
          <t>Día exacto por confirmar</t>
        </is>
      </c>
    </row>
    <row r="65" ht="20.1" customHeight="1" s="1">
      <c r="B65" s="18" t="n"/>
      <c r="C65" s="19" t="inlineStr">
        <is>
          <t>Entrega final de la Fase 2</t>
        </is>
      </c>
      <c r="D65" s="19" t="inlineStr">
        <is>
          <t>Equipo</t>
        </is>
      </c>
      <c r="E65" s="20" t="n">
        <v>46349</v>
      </c>
      <c r="F65" s="20" t="n">
        <v>46353</v>
      </c>
      <c r="G65" s="19" t="inlineStr">
        <is>
          <t>Pendiente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Semana 15, por confirmar</t>
        </is>
      </c>
    </row>
    <row r="66" ht="20.1" customHeight="1" s="1">
      <c r="B66" s="16" t="n"/>
      <c r="C66" s="17" t="inlineStr">
        <is>
          <t>FASE 3</t>
        </is>
      </c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</row>
    <row r="67" ht="20.1" customHeight="1" s="1">
      <c r="B67" s="18" t="n"/>
      <c r="C67" s="19" t="inlineStr">
        <is>
          <t>Ajustes finales, manuales y exposición ante la Comisión</t>
        </is>
      </c>
      <c r="D67" s="19" t="inlineStr">
        <is>
          <t>Equipo</t>
        </is>
      </c>
      <c r="E67" s="20" t="n">
        <v>46356</v>
      </c>
      <c r="F67" s="20" t="n">
        <v>46374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C67" s="23" t="inlineStr">
        <is>
          <t>Fechas por definir</t>
        </is>
      </c>
    </row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</sheetData>
  <mergeCells count="5">
    <mergeCell ref="U8:Y8"/>
    <mergeCell ref="Z8:AA8"/>
    <mergeCell ref="M8:P8"/>
    <mergeCell ref="Q8:T8"/>
    <mergeCell ref="I8:L8"/>
  </mergeCells>
  <conditionalFormatting sqref="B10:B67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7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7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2026-10-21T21:59:22Z</dcterms:modified>
  <cp:lastModifiedBy>FRANCISCO ESTEBAN SANDOVAL VALENZUELA</cp:lastModifiedBy>
</cp:coreProperties>
</file>