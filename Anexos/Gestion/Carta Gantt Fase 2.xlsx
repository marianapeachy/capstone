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3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COUNTIF($G$10:$G$63,"Cumplido")</f>
        <v/>
      </c>
      <c r="E5" s="6">
        <f>COUNTIF($G$10:$G$63,"En curso")</f>
        <v/>
      </c>
      <c r="F5" s="7">
        <f>COUNTIF($G$10:$G$63,"Pendiente")</f>
        <v/>
      </c>
      <c r="G5" s="8">
        <f>COUNTIF($G$10:$G$63,"Atrasado")</f>
        <v/>
      </c>
      <c r="H5" s="9">
        <f>COUNTIF($G$10:$G$63,"Bloqueado")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En curso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>
        <v>46316</v>
      </c>
      <c r="F42" s="20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>
        <v>46315</v>
      </c>
      <c r="F50" s="20">
        <v>46315</v>
      </c>
      <c r="G50" s="19" t="inlineStr">
        <is>
          <t>Cumplido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Hecho el 2026-10-20, con atraso (plazo 2026-10-09). docs/plan-de-mejoras.md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>
        <v>46315</v>
      </c>
      <c r="F55" s="20" t="n">
        <v>46321</v>
      </c>
      <c r="G55" s="19" t="inlineStr">
        <is>
          <t>En curso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Guía 2.4 llenada el 2026-10-20 (Fase 2/); falta el diario 2.1 y las partes de opinión del equipo</t>
        </is>
      </c>
    </row>
    <row r="56" ht="20.1" customHeight="1" s="1">
      <c r="B56" s="18" t="n"/>
      <c r="C56" s="19" t="inlineStr">
        <is>
          <t>Rehacer plantillas de C.U y diagramas según la app Django</t>
        </is>
      </c>
      <c r="D56" s="19" t="inlineStr">
        <is>
          <t>Mariana</t>
        </is>
      </c>
      <c r="E56" s="20">
        <v>46316</v>
      </c>
      <c r="F56" s="20">
        <v>46316</v>
      </c>
      <c r="G56" s="19" t="inlineStr">
        <is>
          <t>Cumplido</t>
        </is>
      </c>
      <c r="H56" s="21" t="inlineStr">
        <is>
          <t>#42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Hecho el 2026-10-21: plantillas, fuentes Mermaid y PNG (CU00-CU06 y arquitectura). docs/cambios-cu.md</t>
        </is>
      </c>
    </row>
    <row r="57" ht="20.1" customHeight="1" s="1">
      <c r="B57" s="16" t="n"/>
      <c r="C57" s="17" t="inlineStr">
        <is>
          <t>HITOS DEL CURSO</t>
        </is>
      </c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</row>
    <row r="58" ht="20.1" customHeight="1" s="1">
      <c r="B58" s="18" t="n"/>
      <c r="C58" s="19" t="inlineStr">
        <is>
          <t>Informe intermedio y video</t>
        </is>
      </c>
      <c r="D58" s="19" t="inlineStr">
        <is>
          <t>Equipo</t>
        </is>
      </c>
      <c r="E58" s="20" t="n">
        <v>46316</v>
      </c>
      <c r="F58" s="20" t="n">
        <v>46316</v>
      </c>
      <c r="G58" s="19" t="inlineStr">
        <is>
          <t>En curso</t>
        </is>
      </c>
      <c r="H58" s="21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Entrega 2026-10-21</t>
        </is>
      </c>
    </row>
    <row r="59" ht="20.1" customHeight="1" s="1">
      <c r="B59" s="18" t="n"/>
      <c r="C59" s="19" t="inlineStr">
        <is>
          <t>Feria de informática</t>
        </is>
      </c>
      <c r="D59" s="19" t="inlineStr">
        <is>
          <t>Nicko</t>
        </is>
      </c>
      <c r="E59" s="20" t="n">
        <v>46321</v>
      </c>
      <c r="F59" s="20" t="n">
        <v>46325</v>
      </c>
      <c r="G59" s="19" t="inlineStr">
        <is>
          <t>Pendiente</t>
        </is>
      </c>
      <c r="H59" s="21" t="inlineStr">
        <is>
          <t>#38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y hora por informar</t>
        </is>
      </c>
    </row>
    <row r="60" ht="20.1" customHeight="1" s="1">
      <c r="B60" s="18" t="n"/>
      <c r="C60" s="19" t="inlineStr">
        <is>
          <t>Evaluación 2 (Avance): 50% de los C.U y demo del Sprint 1</t>
        </is>
      </c>
      <c r="D60" s="19" t="inlineStr">
        <is>
          <t>Equipo</t>
        </is>
      </c>
      <c r="E60" s="20" t="n">
        <v>46323</v>
      </c>
      <c r="F60" s="20" t="n">
        <v>46325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Día exacto por confirmar</t>
        </is>
      </c>
    </row>
    <row r="61" ht="20.1" customHeight="1" s="1">
      <c r="B61" s="18" t="n"/>
      <c r="C61" s="19" t="inlineStr">
        <is>
          <t>Entrega final de la Fase 2</t>
        </is>
      </c>
      <c r="D61" s="19" t="inlineStr">
        <is>
          <t>Equipo</t>
        </is>
      </c>
      <c r="E61" s="20" t="n">
        <v>46349</v>
      </c>
      <c r="F61" s="20" t="n">
        <v>46353</v>
      </c>
      <c r="G61" s="19" t="inlineStr">
        <is>
          <t>Pendiente</t>
        </is>
      </c>
      <c r="H61" s="21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Semana 15, por confirmar</t>
        </is>
      </c>
    </row>
    <row r="62" ht="20.1" customHeight="1" s="1">
      <c r="B62" s="16" t="n"/>
      <c r="C62" s="17" t="inlineStr">
        <is>
          <t>FASE 3</t>
        </is>
      </c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</row>
    <row r="63" ht="20.1" customHeight="1" s="1">
      <c r="B63" s="18" t="n"/>
      <c r="C63" s="19" t="inlineStr">
        <is>
          <t>Ajustes finales, manuales y exposición ante la Comisión</t>
        </is>
      </c>
      <c r="D63" s="19" t="inlineStr">
        <is>
          <t>Equipo</t>
        </is>
      </c>
      <c r="E63" s="20" t="n">
        <v>46356</v>
      </c>
      <c r="F63" s="20" t="n">
        <v>46374</v>
      </c>
      <c r="G63" s="19" t="inlineStr">
        <is>
          <t>Pendiente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Fechas por definir</t>
        </is>
      </c>
    </row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</sheetData>
  <mergeCells count="5">
    <mergeCell ref="U8:Y8"/>
    <mergeCell ref="Z8:AA8"/>
    <mergeCell ref="M8:P8"/>
    <mergeCell ref="Q8:T8"/>
    <mergeCell ref="I8:L8"/>
  </mergeCells>
  <conditionalFormatting sqref="B10:B63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3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3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2026-10-20T17:08:12Z</dcterms:modified>
  <cp:lastModifiedBy>FRANCISCO ESTEBAN SANDOVAL VALENZUELA</cp:lastModifiedBy>
</cp:coreProperties>
</file>