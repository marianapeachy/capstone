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AE1A5C0D-2EE7-4336-812F-4C33E09E27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arta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G9nnVZcKiBaD82IRFPgVbIeBzlWEGAfoTtDDi1Ys1w="/>
    </ext>
  </extLst>
</workbook>
</file>

<file path=xl/calcChain.xml><?xml version="1.0" encoding="utf-8"?>
<calcChain xmlns="http://schemas.openxmlformats.org/spreadsheetml/2006/main">
  <c r="G9" i="1" l="1"/>
  <c r="Y9" i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H9" i="1" l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</calcChain>
</file>

<file path=xl/sharedStrings.xml><?xml version="1.0" encoding="utf-8"?>
<sst xmlns="http://schemas.openxmlformats.org/spreadsheetml/2006/main" count="40" uniqueCount="32">
  <si>
    <t>Carta Gantt caso WALMART Iteración 1</t>
  </si>
  <si>
    <t>Integrantes:</t>
  </si>
  <si>
    <t>Nicko Cortes, Francisco Sandoval, Mariana Ramirez</t>
  </si>
  <si>
    <t>Detalle actividad</t>
  </si>
  <si>
    <t>Responsable</t>
  </si>
  <si>
    <t>Análisis</t>
  </si>
  <si>
    <t>Creación carta gantt</t>
  </si>
  <si>
    <t>Nicko Cortes</t>
  </si>
  <si>
    <t>Recepción del caso</t>
  </si>
  <si>
    <t>Organización del equipo</t>
  </si>
  <si>
    <t>Definición de requerimientos generales de proyecto</t>
  </si>
  <si>
    <t>Francisco Sandoval</t>
  </si>
  <si>
    <t>Captura de requerimientos funcionales</t>
  </si>
  <si>
    <t>Documento preliminar de requerimientos</t>
  </si>
  <si>
    <t>Análisis de requerimientos</t>
  </si>
  <si>
    <t>Diseño</t>
  </si>
  <si>
    <t>Diseño de Casos de Uso</t>
  </si>
  <si>
    <t>Diagrama de Casos de Uso</t>
  </si>
  <si>
    <t>Plantillas de Casos de Uso</t>
  </si>
  <si>
    <t xml:space="preserve">Informe presentación del caso </t>
  </si>
  <si>
    <t>Diagramas de Actividad</t>
  </si>
  <si>
    <t>Diseño de base de datos</t>
  </si>
  <si>
    <t>Modelamiento de base de datos</t>
  </si>
  <si>
    <t>Mockups del sistema</t>
  </si>
  <si>
    <t>Creación de Script de base de datos</t>
  </si>
  <si>
    <t>Agosto</t>
  </si>
  <si>
    <t>Septiembre</t>
  </si>
  <si>
    <t>Inicio</t>
  </si>
  <si>
    <t>Fin</t>
  </si>
  <si>
    <t>Mariana Ramirez</t>
  </si>
  <si>
    <t>Nicko Cortes - Francisco Sandoval</t>
  </si>
  <si>
    <t>Mariana Ramirez -Francisco Sandoval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</si>
</sst>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"/>
  </numFmts>
  <fonts count="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color theme="1"/>
      <name val="Arial"/>
    </font>
    <font>
      <sz val="10"/>
      <color rgb="FFFFFFFF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1" fillId="2" borderId="0" xfId="0" applyFont="1" applyFill="1"/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3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/>
    <xf numFmtId="0" fontId="2" fillId="2" borderId="3" xfId="0" applyFont="1" applyFill="1" applyBorder="1"/>
    <xf numFmtId="0" fontId="2" fillId="2" borderId="6" xfId="0" applyFont="1" applyFill="1" applyBorder="1"/>
    <xf numFmtId="0" fontId="2" fillId="0" borderId="6" xfId="0" applyFont="1" applyBorder="1"/>
    <xf numFmtId="0" fontId="5" fillId="7" borderId="6" xfId="0" applyFont="1" applyFill="1" applyBorder="1" applyAlignment="1">
      <alignment horizontal="left"/>
    </xf>
    <xf numFmtId="14" fontId="2" fillId="0" borderId="6" xfId="0" applyNumberFormat="1" applyFont="1" applyBorder="1"/>
    <xf numFmtId="166" fontId="0" fillId="0" borderId="0" xfId="0" applyNumberFormat="1"/>
    <xf numFmtId="0" fontId="6" fillId="0" borderId="6" xfId="0" applyFont="1" applyBorder="1"/>
    <xf numFmtId="0" fontId="6" fillId="2" borderId="0" xfId="0" applyFont="1" applyFill="1"/>
    <xf numFmtId="0" fontId="7" fillId="7" borderId="6" xfId="0" applyFont="1" applyFill="1" applyBorder="1" applyAlignment="1">
      <alignment horizontal="left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2">
    <dxf>
      <fill>
        <patternFill>
          <bgColor theme="4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BA1000"/>
  <sheetViews>
    <sheetView tabSelected="1" topLeftCell="A3" zoomScale="85" zoomScaleNormal="85" workbookViewId="0">
      <selection activeCell="AM29" sqref="AM29"/>
    </sheetView>
  </sheetViews>
  <sheetFormatPr baseColWidth="10" defaultColWidth="12.5703125" defaultRowHeight="15" customHeight="1" x14ac:dyDescent="0.2"/>
  <cols>
    <col min="1" max="1" width="6.7109375" customWidth="1"/>
    <col min="2" max="2" width="22.140625" customWidth="1"/>
    <col min="3" max="3" width="45.140625" customWidth="1"/>
    <col min="4" max="4" width="32.5703125" customWidth="1"/>
    <col min="5" max="6" width="25.5703125" customWidth="1"/>
    <col min="7" max="53" width="3.140625" customWidth="1"/>
  </cols>
  <sheetData>
    <row r="1" spans="2:53" ht="15.75" customHeight="1" x14ac:dyDescent="0.2">
      <c r="B1" s="3" t="s">
        <v>0</v>
      </c>
      <c r="C1" s="4"/>
    </row>
    <row r="2" spans="2:53" ht="15.75" customHeight="1" x14ac:dyDescent="0.2">
      <c r="B2" s="4"/>
      <c r="C2" s="4"/>
    </row>
    <row r="3" spans="2:53" ht="15.75" customHeight="1" x14ac:dyDescent="0.2">
      <c r="B3" s="1" t="s">
        <v>1</v>
      </c>
      <c r="C3" s="20" t="s">
        <v>2</v>
      </c>
    </row>
    <row r="4" spans="2:53" ht="15.75" customHeight="1" x14ac:dyDescent="0.2"/>
    <row r="5" spans="2:53" ht="15.75" customHeight="1" x14ac:dyDescent="0.2"/>
    <row r="6" spans="2:53" ht="15.75" customHeight="1" x14ac:dyDescent="0.2"/>
    <row r="7" spans="2:53" ht="15.75" customHeight="1" x14ac:dyDescent="0.2"/>
    <row r="8" spans="2:53" ht="15.75" customHeight="1" x14ac:dyDescent="0.2">
      <c r="G8" s="5" t="s">
        <v>25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  <c r="X8" s="7" t="s">
        <v>26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2:53" ht="15.75" customHeight="1" x14ac:dyDescent="0.2">
      <c r="C9" s="13" t="s">
        <v>3</v>
      </c>
      <c r="D9" s="14" t="s">
        <v>4</v>
      </c>
      <c r="E9" s="14" t="s">
        <v>27</v>
      </c>
      <c r="F9" s="14" t="s">
        <v>28</v>
      </c>
      <c r="G9" s="18">
        <f>E10</f>
        <v>46249</v>
      </c>
      <c r="H9" s="18">
        <f>G9+1</f>
        <v>46250</v>
      </c>
      <c r="I9" s="18">
        <f t="shared" ref="I9:W9" si="0">H9+1</f>
        <v>46251</v>
      </c>
      <c r="J9" s="18">
        <f t="shared" si="0"/>
        <v>46252</v>
      </c>
      <c r="K9" s="18">
        <f t="shared" si="0"/>
        <v>46253</v>
      </c>
      <c r="L9" s="18">
        <f t="shared" si="0"/>
        <v>46254</v>
      </c>
      <c r="M9" s="18">
        <f t="shared" si="0"/>
        <v>46255</v>
      </c>
      <c r="N9" s="18">
        <f t="shared" si="0"/>
        <v>46256</v>
      </c>
      <c r="O9" s="18">
        <f t="shared" si="0"/>
        <v>46257</v>
      </c>
      <c r="P9" s="18">
        <f t="shared" si="0"/>
        <v>46258</v>
      </c>
      <c r="Q9" s="18">
        <f t="shared" si="0"/>
        <v>46259</v>
      </c>
      <c r="R9" s="18">
        <f t="shared" si="0"/>
        <v>46260</v>
      </c>
      <c r="S9" s="18">
        <f t="shared" si="0"/>
        <v>46261</v>
      </c>
      <c r="T9" s="18">
        <f t="shared" si="0"/>
        <v>46262</v>
      </c>
      <c r="U9" s="18">
        <f t="shared" si="0"/>
        <v>46263</v>
      </c>
      <c r="V9" s="18">
        <f t="shared" si="0"/>
        <v>46264</v>
      </c>
      <c r="W9" s="18">
        <f t="shared" si="0"/>
        <v>46265</v>
      </c>
      <c r="X9" s="18">
        <v>46266</v>
      </c>
      <c r="Y9" s="18">
        <f>X9+1</f>
        <v>46267</v>
      </c>
      <c r="Z9" s="18">
        <f t="shared" ref="Z9:BA9" si="1">Y9+1</f>
        <v>46268</v>
      </c>
      <c r="AA9" s="18">
        <f t="shared" si="1"/>
        <v>46269</v>
      </c>
      <c r="AB9" s="18">
        <f t="shared" si="1"/>
        <v>46270</v>
      </c>
      <c r="AC9" s="18">
        <f t="shared" si="1"/>
        <v>46271</v>
      </c>
      <c r="AD9" s="18">
        <f t="shared" si="1"/>
        <v>46272</v>
      </c>
      <c r="AE9" s="18">
        <f t="shared" si="1"/>
        <v>46273</v>
      </c>
      <c r="AF9" s="18">
        <f t="shared" si="1"/>
        <v>46274</v>
      </c>
      <c r="AG9" s="18">
        <f t="shared" si="1"/>
        <v>46275</v>
      </c>
      <c r="AH9" s="18">
        <f t="shared" si="1"/>
        <v>46276</v>
      </c>
      <c r="AI9" s="18">
        <f t="shared" si="1"/>
        <v>46277</v>
      </c>
      <c r="AJ9" s="18">
        <f t="shared" si="1"/>
        <v>46278</v>
      </c>
      <c r="AK9" s="18">
        <f t="shared" si="1"/>
        <v>46279</v>
      </c>
      <c r="AL9" s="18">
        <f t="shared" si="1"/>
        <v>46280</v>
      </c>
      <c r="AM9" s="18">
        <f t="shared" si="1"/>
        <v>46281</v>
      </c>
      <c r="AN9" s="18">
        <f t="shared" si="1"/>
        <v>46282</v>
      </c>
      <c r="AO9" s="18">
        <f t="shared" si="1"/>
        <v>46283</v>
      </c>
      <c r="AP9" s="18">
        <f t="shared" si="1"/>
        <v>46284</v>
      </c>
      <c r="AQ9" s="18">
        <f t="shared" si="1"/>
        <v>46285</v>
      </c>
      <c r="AR9" s="18">
        <f t="shared" si="1"/>
        <v>46286</v>
      </c>
      <c r="AS9" s="18">
        <f t="shared" si="1"/>
        <v>46287</v>
      </c>
      <c r="AT9" s="18">
        <f t="shared" si="1"/>
        <v>46288</v>
      </c>
      <c r="AU9" s="18">
        <f t="shared" si="1"/>
        <v>46289</v>
      </c>
      <c r="AV9" s="18">
        <f t="shared" si="1"/>
        <v>46290</v>
      </c>
      <c r="AW9" s="18">
        <f t="shared" si="1"/>
        <v>46291</v>
      </c>
      <c r="AX9" s="18">
        <f t="shared" si="1"/>
        <v>46292</v>
      </c>
      <c r="AY9" s="18">
        <f t="shared" si="1"/>
        <v>46293</v>
      </c>
      <c r="AZ9" s="18">
        <f t="shared" si="1"/>
        <v>46294</v>
      </c>
      <c r="BA9" s="18">
        <f t="shared" si="1"/>
        <v>46295</v>
      </c>
    </row>
    <row r="10" spans="2:53" ht="15.75" customHeight="1" x14ac:dyDescent="0.2">
      <c r="B10" s="8" t="s">
        <v>5</v>
      </c>
      <c r="C10" s="12" t="s">
        <v>6</v>
      </c>
      <c r="D10" s="15" t="s">
        <v>7</v>
      </c>
      <c r="E10" s="17">
        <v>46249</v>
      </c>
      <c r="F10" s="17">
        <v>46250</v>
      </c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6"/>
    </row>
    <row r="11" spans="2:53" ht="15.75" customHeight="1" x14ac:dyDescent="0.2">
      <c r="B11" s="9"/>
      <c r="C11" s="12" t="s">
        <v>8</v>
      </c>
      <c r="D11" s="15" t="s">
        <v>7</v>
      </c>
      <c r="E11" s="17">
        <v>46250</v>
      </c>
      <c r="F11" s="17">
        <v>46252</v>
      </c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</row>
    <row r="12" spans="2:53" ht="15.75" customHeight="1" x14ac:dyDescent="0.2">
      <c r="B12" s="9"/>
      <c r="C12" s="12" t="s">
        <v>9</v>
      </c>
      <c r="D12" s="15" t="s">
        <v>7</v>
      </c>
      <c r="E12" s="17">
        <v>46249</v>
      </c>
      <c r="F12" s="17">
        <v>46251</v>
      </c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6"/>
    </row>
    <row r="13" spans="2:53" ht="15.75" customHeight="1" x14ac:dyDescent="0.2">
      <c r="B13" s="9"/>
      <c r="C13" s="12" t="s">
        <v>10</v>
      </c>
      <c r="D13" s="15" t="s">
        <v>11</v>
      </c>
      <c r="E13" s="17">
        <v>46251</v>
      </c>
      <c r="F13" s="17">
        <v>46253</v>
      </c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6"/>
    </row>
    <row r="14" spans="2:53" ht="15.75" customHeight="1" x14ac:dyDescent="0.2">
      <c r="B14" s="9"/>
      <c r="C14" s="12" t="s">
        <v>12</v>
      </c>
      <c r="D14" s="15" t="s">
        <v>11</v>
      </c>
      <c r="E14" s="17">
        <v>46252</v>
      </c>
      <c r="F14" s="17">
        <v>46256</v>
      </c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6"/>
    </row>
    <row r="15" spans="2:53" ht="15.75" customHeight="1" x14ac:dyDescent="0.2">
      <c r="B15" s="9"/>
      <c r="C15" s="12" t="s">
        <v>13</v>
      </c>
      <c r="D15" s="19" t="s">
        <v>11</v>
      </c>
      <c r="E15" s="17">
        <v>46254</v>
      </c>
      <c r="F15" s="17">
        <v>46258</v>
      </c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6"/>
    </row>
    <row r="16" spans="2:53" ht="15.75" customHeight="1" x14ac:dyDescent="0.2">
      <c r="B16" s="10"/>
      <c r="C16" s="12" t="s">
        <v>14</v>
      </c>
      <c r="D16" s="19" t="s">
        <v>29</v>
      </c>
      <c r="E16" s="17">
        <v>46256</v>
      </c>
      <c r="F16" s="17">
        <v>46259</v>
      </c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6"/>
    </row>
    <row r="17" spans="2:34" ht="15.75" customHeight="1" x14ac:dyDescent="0.2">
      <c r="B17" s="11" t="s">
        <v>15</v>
      </c>
      <c r="C17" s="12" t="s">
        <v>16</v>
      </c>
      <c r="D17" s="19" t="s">
        <v>31</v>
      </c>
      <c r="E17" s="17">
        <v>46260</v>
      </c>
      <c r="F17" s="17">
        <v>46263</v>
      </c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6"/>
    </row>
    <row r="18" spans="2:34" ht="15.75" customHeight="1" x14ac:dyDescent="0.2">
      <c r="B18" s="9"/>
      <c r="C18" s="12" t="s">
        <v>17</v>
      </c>
      <c r="D18" s="19" t="s">
        <v>31</v>
      </c>
      <c r="E18" s="17">
        <v>46260</v>
      </c>
      <c r="F18" s="17">
        <v>46265</v>
      </c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6"/>
    </row>
    <row r="19" spans="2:34" ht="15.75" customHeight="1" x14ac:dyDescent="0.2">
      <c r="B19" s="9"/>
      <c r="C19" s="12" t="s">
        <v>18</v>
      </c>
      <c r="D19" s="21" t="s">
        <v>29</v>
      </c>
      <c r="E19" s="17">
        <v>46262</v>
      </c>
      <c r="F19" s="17">
        <v>46264</v>
      </c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</row>
    <row r="20" spans="2:34" ht="15.75" customHeight="1" x14ac:dyDescent="0.2">
      <c r="B20" s="9"/>
      <c r="C20" s="12" t="s">
        <v>19</v>
      </c>
      <c r="D20" s="19" t="s">
        <v>30</v>
      </c>
      <c r="E20" s="17">
        <v>46266</v>
      </c>
      <c r="F20" s="17">
        <v>46265</v>
      </c>
      <c r="G20" s="22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7"/>
    </row>
    <row r="21" spans="2:34" ht="15.75" customHeight="1" x14ac:dyDescent="0.2">
      <c r="B21" s="9"/>
      <c r="C21" s="12" t="s">
        <v>20</v>
      </c>
      <c r="D21" s="21" t="s">
        <v>29</v>
      </c>
      <c r="E21" s="17">
        <v>46260</v>
      </c>
      <c r="F21" s="17">
        <v>46269</v>
      </c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6"/>
    </row>
    <row r="22" spans="2:34" ht="15.75" customHeight="1" x14ac:dyDescent="0.2">
      <c r="B22" s="9"/>
      <c r="C22" s="12" t="s">
        <v>21</v>
      </c>
      <c r="D22" s="19"/>
      <c r="E22" s="17"/>
      <c r="F22" s="17"/>
      <c r="G22" s="22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7"/>
    </row>
    <row r="23" spans="2:34" ht="15.75" customHeight="1" x14ac:dyDescent="0.2">
      <c r="B23" s="9"/>
      <c r="C23" s="12" t="s">
        <v>22</v>
      </c>
      <c r="D23" s="15"/>
      <c r="E23" s="17"/>
      <c r="F23" s="17"/>
      <c r="G23" s="22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7"/>
    </row>
    <row r="24" spans="2:34" ht="15.75" customHeight="1" x14ac:dyDescent="0.2">
      <c r="B24" s="9"/>
      <c r="C24" s="12" t="s">
        <v>23</v>
      </c>
      <c r="D24" s="19" t="s">
        <v>29</v>
      </c>
      <c r="E24" s="17">
        <v>46268</v>
      </c>
      <c r="F24" s="17">
        <v>46274</v>
      </c>
      <c r="G24" s="24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6"/>
    </row>
    <row r="25" spans="2:34" ht="15.75" customHeight="1" x14ac:dyDescent="0.2">
      <c r="B25" s="10"/>
      <c r="C25" s="12" t="s">
        <v>24</v>
      </c>
      <c r="D25" s="16"/>
      <c r="E25" s="17"/>
      <c r="F25" s="17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spans="2:34" ht="15.75" customHeight="1" x14ac:dyDescent="0.2"/>
    <row r="27" spans="2:34" ht="15.75" customHeight="1" x14ac:dyDescent="0.2"/>
    <row r="28" spans="2:34" ht="15.75" customHeight="1" x14ac:dyDescent="0.2"/>
    <row r="29" spans="2:34" ht="15.75" customHeight="1" x14ac:dyDescent="0.2"/>
    <row r="30" spans="2:34" ht="15.75" customHeight="1" x14ac:dyDescent="0.2"/>
    <row r="31" spans="2:34" ht="15.75" customHeight="1" x14ac:dyDescent="0.2"/>
    <row r="32" spans="2:3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C2"/>
    <mergeCell ref="G8:V8"/>
    <mergeCell ref="X8:BA8"/>
    <mergeCell ref="B10:B16"/>
    <mergeCell ref="B17:B25"/>
  </mergeCells>
  <conditionalFormatting sqref="G10:BA25">
    <cfRule type="expression" dxfId="1" priority="3">
      <formula>AND(G$9&gt;=$E10,G$9&lt;=$F10)</formula>
    </cfRule>
    <cfRule type="expression" priority="4">
      <formula>AND(G$9&gt;=$E10,G$9&lt;=$F10)</formula>
    </cfRule>
  </conditionalFormatting>
  <conditionalFormatting sqref="G10:AI25">
    <cfRule type="expression" dxfId="0" priority="1">
      <formula>AND(G$9&gt;=$E10,G$9&lt;=$F10)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NICKO MATEO CORTES GONZALEZ</cp:lastModifiedBy>
  <dcterms:modified xsi:type="dcterms:W3CDTF">2026-09-12T03:00:07Z</dcterms:modified>
</cp:coreProperties>
</file>